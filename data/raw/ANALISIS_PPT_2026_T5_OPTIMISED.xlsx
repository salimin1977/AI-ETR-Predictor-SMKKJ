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. RINGKASAN" sheetId="1" state="visible" r:id="rId1"/>
    <sheet xmlns:r="http://schemas.openxmlformats.org/officeDocument/2006/relationships" name="01. 1103" sheetId="2" state="visible" r:id="rId2"/>
    <sheet xmlns:r="http://schemas.openxmlformats.org/officeDocument/2006/relationships" name="02. 1119" sheetId="3" state="visible" r:id="rId3"/>
    <sheet xmlns:r="http://schemas.openxmlformats.org/officeDocument/2006/relationships" name="03. 1449" sheetId="4" state="visible" r:id="rId4"/>
    <sheet xmlns:r="http://schemas.openxmlformats.org/officeDocument/2006/relationships" name="04. 1511" sheetId="5" state="visible" r:id="rId5"/>
    <sheet xmlns:r="http://schemas.openxmlformats.org/officeDocument/2006/relationships" name="05. 1249" sheetId="6" state="visible" r:id="rId6"/>
    <sheet xmlns:r="http://schemas.openxmlformats.org/officeDocument/2006/relationships" name="06. 1223" sheetId="7" state="visible" r:id="rId7"/>
    <sheet xmlns:r="http://schemas.openxmlformats.org/officeDocument/2006/relationships" name="07. 1225" sheetId="8" state="visible" r:id="rId8"/>
    <sheet xmlns:r="http://schemas.openxmlformats.org/officeDocument/2006/relationships" name="08. 4551" sheetId="9" state="visible" r:id="rId9"/>
    <sheet xmlns:r="http://schemas.openxmlformats.org/officeDocument/2006/relationships" name="09. 3767" sheetId="10" state="visible" r:id="rId10"/>
    <sheet xmlns:r="http://schemas.openxmlformats.org/officeDocument/2006/relationships" name="10. 4531" sheetId="11" state="visible" r:id="rId11"/>
    <sheet xmlns:r="http://schemas.openxmlformats.org/officeDocument/2006/relationships" name="11. 4541" sheetId="12" state="visible" r:id="rId12"/>
    <sheet xmlns:r="http://schemas.openxmlformats.org/officeDocument/2006/relationships" name="12. 3472" sheetId="13" state="visible" r:id="rId13"/>
    <sheet xmlns:r="http://schemas.openxmlformats.org/officeDocument/2006/relationships" name="13. 2611" sheetId="14" state="visible" r:id="rId14"/>
    <sheet xmlns:r="http://schemas.openxmlformats.org/officeDocument/2006/relationships" name="14. 3766" sheetId="15" state="visible" r:id="rId15"/>
    <sheet xmlns:r="http://schemas.openxmlformats.org/officeDocument/2006/relationships" name="15. 3756" sheetId="16" state="visible" r:id="rId16"/>
    <sheet xmlns:r="http://schemas.openxmlformats.org/officeDocument/2006/relationships" name="16. 3769" sheetId="17" state="visible" r:id="rId17"/>
    <sheet xmlns:r="http://schemas.openxmlformats.org/officeDocument/2006/relationships" name="17. 4572" sheetId="18" state="visible" r:id="rId18"/>
    <sheet xmlns:r="http://schemas.openxmlformats.org/officeDocument/2006/relationships" name="18. 5226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0">
    <font>
      <name val="Calibri"/>
      <family val="2"/>
      <color theme="1"/>
      <sz val="11"/>
      <scheme val="minor"/>
    </font>
    <font>
      <name val="Arial"/>
      <b val="1"/>
      <color rgb="FFC8942A"/>
      <sz val="16"/>
    </font>
    <font>
      <name val="Arial"/>
      <b val="1"/>
      <color rgb="FFFFFFFF"/>
      <sz val="12"/>
    </font>
    <font>
      <name val="Arial"/>
      <b val="1"/>
      <color rgb="FFFFFFFF"/>
      <sz val="10"/>
    </font>
    <font>
      <name val="Arial"/>
      <b val="1"/>
      <color rgb="FF1A3A5C"/>
      <sz val="10"/>
    </font>
    <font>
      <name val="Arial"/>
      <color rgb="FF1A3A5C"/>
      <sz val="10"/>
    </font>
    <font>
      <name val="Arial"/>
      <b val="1"/>
      <color rgb="FF1E7A4A"/>
      <sz val="10"/>
    </font>
    <font>
      <name val="Arial"/>
      <b val="1"/>
      <color rgb="FFC87137"/>
      <sz val="10"/>
    </font>
    <font>
      <name val="Arial"/>
      <b val="1"/>
      <color rgb="FFB22222"/>
      <sz val="10"/>
    </font>
    <font>
      <name val="Arial"/>
      <b val="1"/>
      <color rgb="FF8B0000"/>
      <sz val="10"/>
    </font>
    <font>
      <name val="Arial"/>
      <b val="1"/>
      <color rgb="FF2E8B57"/>
      <sz val="10"/>
    </font>
    <font>
      <name val="Arial"/>
      <b val="1"/>
      <color rgb="FFFFFFFF"/>
      <sz val="11"/>
    </font>
    <font>
      <name val="Arial"/>
      <b val="1"/>
      <color rgb="FFC8942A"/>
      <sz val="14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2E6DA4"/>
      <sz val="12"/>
    </font>
    <font>
      <name val="Arial"/>
      <b val="1"/>
      <color rgb="FF1E7A4A"/>
      <sz val="12"/>
    </font>
    <font>
      <name val="Arial"/>
      <b val="1"/>
      <color rgb="FFC87137"/>
      <sz val="12"/>
    </font>
    <font>
      <name val="Arial"/>
      <b val="1"/>
      <color rgb="FFFFFFFF"/>
      <sz val="8"/>
    </font>
    <font>
      <name val="Arial"/>
      <b val="1"/>
      <color rgb="FF1A3A5C"/>
      <sz val="9"/>
    </font>
    <font>
      <name val="Arial"/>
      <color rgb="FF1A3A5C"/>
      <sz val="9"/>
    </font>
    <font>
      <name val="Arial"/>
      <color rgb="FFCCCCCC"/>
      <sz val="9"/>
    </font>
    <font>
      <name val="Arial"/>
      <color rgb="FF1E7A4A"/>
      <sz val="9"/>
    </font>
    <font>
      <name val="Arial"/>
      <color rgb="FFC87137"/>
      <sz val="9"/>
    </font>
    <font>
      <name val="Arial"/>
      <color rgb="FFB22222"/>
      <sz val="9"/>
    </font>
    <font>
      <name val="Arial"/>
      <b val="1"/>
      <color rgb="FF1E7A4A"/>
      <sz val="9"/>
    </font>
    <font>
      <name val="Arial"/>
      <b val="1"/>
      <color rgb="FF2E8B57"/>
      <sz val="9"/>
    </font>
    <font>
      <name val="Arial"/>
      <color rgb="FF2E8B57"/>
      <sz val="9"/>
    </font>
    <font>
      <name val="Arial"/>
      <b val="1"/>
      <color rgb="FFC87137"/>
      <sz val="9"/>
    </font>
    <font>
      <name val="Arial"/>
      <b val="1"/>
      <color rgb="FFB22222"/>
      <sz val="9"/>
    </font>
    <font>
      <name val="Arial"/>
      <b val="1"/>
      <color rgb="FFAAAAAA"/>
      <sz val="9"/>
    </font>
    <font>
      <name val="Arial"/>
      <color rgb="FF1E7A4A"/>
      <sz val="8"/>
    </font>
    <font>
      <name val="Arial"/>
      <color rgb="FF2E8B57"/>
      <sz val="8"/>
    </font>
    <font>
      <name val="Arial"/>
      <color rgb="FFC87137"/>
      <sz val="8"/>
    </font>
    <font>
      <name val="Arial"/>
      <color rgb="FF8B0000"/>
      <sz val="8"/>
    </font>
    <font>
      <name val="Arial"/>
      <color rgb="FFB22222"/>
      <sz val="8"/>
    </font>
    <font>
      <name val="Arial"/>
      <b val="1"/>
      <color rgb="FF8B0000"/>
      <sz val="9"/>
    </font>
    <font>
      <name val="Arial"/>
      <b val="1"/>
      <color rgb="FFB22222"/>
      <sz val="12"/>
    </font>
    <font>
      <name val="Arial"/>
      <b val="1"/>
      <color rgb="FF8B0000"/>
      <sz val="12"/>
    </font>
    <font>
      <name val="Arial"/>
      <b val="1"/>
      <color rgb="FF2E8B57"/>
      <sz val="12"/>
    </font>
  </fonts>
  <fills count="15">
    <fill>
      <patternFill/>
    </fill>
    <fill>
      <patternFill patternType="gray125"/>
    </fill>
    <fill>
      <patternFill patternType="solid">
        <fgColor rgb="FF1A3A5C"/>
      </patternFill>
    </fill>
    <fill>
      <patternFill patternType="solid">
        <fgColor rgb="FF2E6DA4"/>
      </patternFill>
    </fill>
    <fill>
      <patternFill patternType="solid">
        <fgColor rgb="FFFFFFFF"/>
      </patternFill>
    </fill>
    <fill>
      <patternFill patternType="solid">
        <fgColor rgb="FFF4F6F8"/>
      </patternFill>
    </fill>
    <fill>
      <patternFill patternType="solid">
        <fgColor rgb="FF1E7A4A"/>
      </patternFill>
    </fill>
    <fill>
      <patternFill patternType="solid">
        <fgColor rgb="FFC87137"/>
      </patternFill>
    </fill>
    <fill>
      <patternFill patternType="solid">
        <fgColor rgb="FF2E8B57"/>
      </patternFill>
    </fill>
    <fill>
      <patternFill patternType="solid">
        <fgColor rgb="FF8B0000"/>
      </patternFill>
    </fill>
    <fill>
      <patternFill patternType="solid">
        <fgColor rgb="FFB22222"/>
      </patternFill>
    </fill>
    <fill>
      <patternFill patternType="solid">
        <fgColor rgb="FF555555"/>
      </patternFill>
    </fill>
    <fill>
      <patternFill patternType="solid">
        <fgColor rgb="FFF8FBFF"/>
      </patternFill>
    </fill>
    <fill>
      <patternFill patternType="solid">
        <fgColor rgb="FFD6EAF8"/>
      </patternFill>
    </fill>
    <fill>
      <patternFill patternType="solid">
        <fgColor rgb="FFFDFEFE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15" fillId="5" borderId="0" applyAlignment="1" pivotButton="0" quotePrefix="0" xfId="0">
      <alignment horizontal="center" vertical="center" wrapText="1"/>
    </xf>
    <xf numFmtId="0" fontId="16" fillId="5" borderId="0" applyAlignment="1" pivotButton="0" quotePrefix="0" xfId="0">
      <alignment horizontal="center" vertical="center" wrapText="1"/>
    </xf>
    <xf numFmtId="0" fontId="17" fillId="5" borderId="0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8" fillId="7" borderId="1" applyAlignment="1" pivotButton="0" quotePrefix="0" xfId="0">
      <alignment horizontal="center" vertical="center" wrapText="1"/>
    </xf>
    <xf numFmtId="0" fontId="18" fillId="8" borderId="1" applyAlignment="1" pivotButton="0" quotePrefix="0" xfId="0">
      <alignment horizontal="center" vertical="center" wrapText="1"/>
    </xf>
    <xf numFmtId="0" fontId="18" fillId="9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center" vertical="center" wrapText="1"/>
    </xf>
    <xf numFmtId="0" fontId="18" fillId="11" borderId="1" applyAlignment="1" pivotButton="0" quotePrefix="0" xfId="0">
      <alignment horizontal="center" vertical="center" wrapText="1"/>
    </xf>
    <xf numFmtId="0" fontId="19" fillId="12" borderId="1" applyAlignment="1" pivotButton="0" quotePrefix="0" xfId="0">
      <alignment horizontal="center" vertical="center" wrapText="1"/>
    </xf>
    <xf numFmtId="0" fontId="19" fillId="12" borderId="1" applyAlignment="1" pivotButton="0" quotePrefix="0" xfId="0">
      <alignment horizontal="left" vertical="center" wrapText="1"/>
    </xf>
    <xf numFmtId="0" fontId="20" fillId="12" borderId="1" applyAlignment="1" pivotButton="0" quotePrefix="0" xfId="0">
      <alignment horizontal="center" vertical="center" wrapText="1"/>
    </xf>
    <xf numFmtId="0" fontId="21" fillId="12" borderId="1" applyAlignment="1" pivotButton="0" quotePrefix="0" xfId="0">
      <alignment horizontal="center" vertical="center" wrapText="1"/>
    </xf>
    <xf numFmtId="0" fontId="22" fillId="12" borderId="1" applyAlignment="1" pivotButton="0" quotePrefix="0" xfId="0">
      <alignment horizontal="center" vertical="center" wrapText="1"/>
    </xf>
    <xf numFmtId="0" fontId="23" fillId="12" borderId="1" applyAlignment="1" pivotButton="0" quotePrefix="0" xfId="0">
      <alignment horizontal="center" vertical="center" wrapText="1"/>
    </xf>
    <xf numFmtId="0" fontId="24" fillId="12" borderId="1" applyAlignment="1" pivotButton="0" quotePrefix="0" xfId="0">
      <alignment horizontal="center" vertical="center" wrapText="1"/>
    </xf>
    <xf numFmtId="0" fontId="25" fillId="12" borderId="1" applyAlignment="1" pivotButton="0" quotePrefix="0" xfId="0">
      <alignment horizontal="center" vertical="center" wrapText="1"/>
    </xf>
    <xf numFmtId="0" fontId="26" fillId="12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left" vertical="center" wrapText="1"/>
    </xf>
    <xf numFmtId="0" fontId="20" fillId="4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  <xf numFmtId="0" fontId="22" fillId="4" borderId="1" applyAlignment="1" pivotButton="0" quotePrefix="0" xfId="0">
      <alignment horizontal="center" vertical="center" wrapText="1"/>
    </xf>
    <xf numFmtId="0" fontId="23" fillId="4" borderId="1" applyAlignment="1" pivotButton="0" quotePrefix="0" xfId="0">
      <alignment horizontal="center" vertical="center" wrapText="1"/>
    </xf>
    <xf numFmtId="0" fontId="27" fillId="4" borderId="1" applyAlignment="1" pivotButton="0" quotePrefix="0" xfId="0">
      <alignment horizontal="center" vertical="center" wrapText="1"/>
    </xf>
    <xf numFmtId="0" fontId="24" fillId="4" borderId="1" applyAlignment="1" pivotButton="0" quotePrefix="0" xfId="0">
      <alignment horizontal="center" vertical="center" wrapText="1"/>
    </xf>
    <xf numFmtId="0" fontId="25" fillId="4" borderId="1" applyAlignment="1" pivotButton="0" quotePrefix="0" xfId="0">
      <alignment horizontal="center" vertical="center" wrapText="1"/>
    </xf>
    <xf numFmtId="0" fontId="28" fillId="4" borderId="1" applyAlignment="1" pivotButton="0" quotePrefix="0" xfId="0">
      <alignment horizontal="center" vertical="center" wrapText="1"/>
    </xf>
    <xf numFmtId="0" fontId="27" fillId="12" borderId="1" applyAlignment="1" pivotButton="0" quotePrefix="0" xfId="0">
      <alignment horizontal="center" vertical="center" wrapText="1"/>
    </xf>
    <xf numFmtId="0" fontId="29" fillId="12" borderId="1" applyAlignment="1" pivotButton="0" quotePrefix="0" xfId="0">
      <alignment horizontal="center" vertical="center" wrapText="1"/>
    </xf>
    <xf numFmtId="0" fontId="19" fillId="13" borderId="1" applyAlignment="1" pivotButton="0" quotePrefix="0" xfId="0">
      <alignment horizontal="center" vertical="center" wrapText="1"/>
    </xf>
    <xf numFmtId="0" fontId="30" fillId="13" borderId="1" applyAlignment="1" pivotButton="0" quotePrefix="0" xfId="0">
      <alignment horizontal="center" vertical="center" wrapText="1"/>
    </xf>
    <xf numFmtId="0" fontId="25" fillId="13" borderId="1" applyAlignment="1" pivotButton="0" quotePrefix="0" xfId="0">
      <alignment horizontal="center" vertical="center" wrapText="1"/>
    </xf>
    <xf numFmtId="0" fontId="28" fillId="13" borderId="1" applyAlignment="1" pivotButton="0" quotePrefix="0" xfId="0">
      <alignment horizontal="center" vertical="center" wrapText="1"/>
    </xf>
    <xf numFmtId="0" fontId="26" fillId="13" borderId="1" applyAlignment="1" pivotButton="0" quotePrefix="0" xfId="0">
      <alignment horizontal="center" vertical="center" wrapText="1"/>
    </xf>
    <xf numFmtId="0" fontId="29" fillId="13" borderId="1" applyAlignment="1" pivotButton="0" quotePrefix="0" xfId="0">
      <alignment horizontal="center" vertical="center" wrapText="1"/>
    </xf>
    <xf numFmtId="0" fontId="31" fillId="14" borderId="1" applyAlignment="1" pivotButton="0" quotePrefix="0" xfId="0">
      <alignment horizontal="center" vertical="center" wrapText="1"/>
    </xf>
    <xf numFmtId="0" fontId="32" fillId="14" borderId="1" applyAlignment="1" pivotButton="0" quotePrefix="0" xfId="0">
      <alignment horizontal="center" vertical="center" wrapText="1"/>
    </xf>
    <xf numFmtId="0" fontId="33" fillId="14" borderId="1" applyAlignment="1" pivotButton="0" quotePrefix="0" xfId="0">
      <alignment horizontal="center" vertical="center" wrapText="1"/>
    </xf>
    <xf numFmtId="0" fontId="34" fillId="14" borderId="1" applyAlignment="1" pivotButton="0" quotePrefix="0" xfId="0">
      <alignment horizontal="center" vertical="center" wrapText="1"/>
    </xf>
    <xf numFmtId="0" fontId="35" fillId="14" borderId="1" applyAlignment="1" pivotButton="0" quotePrefix="0" xfId="0">
      <alignment horizontal="center" vertical="center" wrapText="1"/>
    </xf>
    <xf numFmtId="0" fontId="36" fillId="12" borderId="1" applyAlignment="1" pivotButton="0" quotePrefix="0" xfId="0">
      <alignment horizontal="center" vertical="center" wrapText="1"/>
    </xf>
    <xf numFmtId="0" fontId="37" fillId="5" borderId="0" applyAlignment="1" pivotButton="0" quotePrefix="0" xfId="0">
      <alignment horizontal="center" vertical="center" wrapText="1"/>
    </xf>
    <xf numFmtId="0" fontId="29" fillId="4" borderId="1" applyAlignment="1" pivotButton="0" quotePrefix="0" xfId="0">
      <alignment horizontal="center" vertical="center" wrapText="1"/>
    </xf>
    <xf numFmtId="0" fontId="38" fillId="5" borderId="0" applyAlignment="1" pivotButton="0" quotePrefix="0" xfId="0">
      <alignment horizontal="center" vertical="center" wrapText="1"/>
    </xf>
    <xf numFmtId="0" fontId="28" fillId="12" borderId="1" applyAlignment="1" pivotButton="0" quotePrefix="0" xfId="0">
      <alignment horizontal="center" vertical="center" wrapText="1"/>
    </xf>
    <xf numFmtId="0" fontId="26" fillId="4" borderId="1" applyAlignment="1" pivotButton="0" quotePrefix="0" xfId="0">
      <alignment horizontal="center" vertical="center" wrapText="1"/>
    </xf>
    <xf numFmtId="0" fontId="36" fillId="4" borderId="1" applyAlignment="1" pivotButton="0" quotePrefix="0" xfId="0">
      <alignment horizontal="center" vertical="center" wrapText="1"/>
    </xf>
    <xf numFmtId="0" fontId="36" fillId="13" borderId="1" applyAlignment="1" pivotButton="0" quotePrefix="0" xfId="0">
      <alignment horizontal="center" vertical="center" wrapText="1"/>
    </xf>
    <xf numFmtId="0" fontId="39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% LULUS KESELURUHAN — SEMUA MATA PELAJARAN PPT 2026 TINGKATAN 5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'00. RINGKASAN'!B27</f>
            </strRef>
          </tx>
          <spPr>
            <a:solidFill xmlns:a="http://schemas.openxmlformats.org/drawingml/2006/main">
              <a:srgbClr val="2E6DA4"/>
            </a:solidFill>
            <a:ln xmlns:a="http://schemas.openxmlformats.org/drawingml/2006/main">
              <a:prstDash val="solid"/>
            </a:ln>
          </spPr>
          <cat>
            <numRef>
              <f>'00. RINGKASAN'!$A$28:$A$45</f>
            </numRef>
          </cat>
          <val>
            <numRef>
              <f>'00. RINGKASAN'!$B$28:$B$45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Mata Pelajaran (Kod)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Lulus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GRED PURATA (GP) — SEMUA MATA PELAJARAN PPT 2026 TINGKATAN 5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'00. RINGKASAN'!C27</f>
            </strRef>
          </tx>
          <spPr>
            <a:solidFill xmlns:a="http://schemas.openxmlformats.org/drawingml/2006/main">
              <a:srgbClr val="C8942A"/>
            </a:solidFill>
            <a:ln xmlns:a="http://schemas.openxmlformats.org/drawingml/2006/main">
              <a:prstDash val="solid"/>
            </a:ln>
          </spPr>
          <cat>
            <numRef>
              <f>'00. RINGKASAN'!$A$28:$A$45</f>
            </numRef>
          </cat>
          <val>
            <numRef>
              <f>'00. RINGKASAN'!$C$28:$C$45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Mata Pelajaran (Kod)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9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GP (rendah = lebih baik)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% LULUS MENGIKUT KELAS — 1103 BAHASA MELAYU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'01. 1103'!AG21</f>
            </strRef>
          </tx>
          <spPr>
            <a:solidFill xmlns:a="http://schemas.openxmlformats.org/drawingml/2006/main">
              <a:srgbClr val="2E6DA4"/>
            </a:solidFill>
            <a:ln xmlns:a="http://schemas.openxmlformats.org/drawingml/2006/main">
              <a:solidFill>
                <a:srgbClr val="1A3A5C"/>
              </a:solidFill>
              <a:prstDash val="solid"/>
            </a:ln>
          </spPr>
          <cat>
            <numRef>
              <f>'01. 1103'!$AF$22:$AF$26</f>
            </numRef>
          </cat>
          <val>
            <numRef>
              <f>'01. 1103'!$AG$22:$AG$26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Kelas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Lulus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GRED PURATA (GP) MENGIKUT KELAS — 1103 BAHASA MELAYU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'01. 1103'!AH21</f>
            </strRef>
          </tx>
          <spPr>
            <a:solidFill xmlns:a="http://schemas.openxmlformats.org/drawingml/2006/main">
              <a:srgbClr val="C8942A"/>
            </a:solidFill>
            <a:ln xmlns:a="http://schemas.openxmlformats.org/drawingml/2006/main">
              <a:solidFill>
                <a:srgbClr val="8B6320"/>
              </a:solidFill>
              <a:prstDash val="solid"/>
            </a:ln>
          </spPr>
          <cat>
            <numRef>
              <f>'01. 1103'!$AF$22:$AF$26</f>
            </numRef>
          </cat>
          <val>
            <numRef>
              <f>'01. 1103'!$AH$22:$AH$26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Kelas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9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GP (rendah = lebih baik)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TABURAN GRED MENGIKUT KELAS — 1103 BAHASA MELAYU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'01. 1103'!AI21</f>
            </strRef>
          </tx>
          <spPr>
            <a:solidFill xmlns:a="http://schemas.openxmlformats.org/drawingml/2006/main">
              <a:srgbClr val="1E7A4A"/>
            </a:solidFill>
            <a:ln xmlns:a="http://schemas.openxmlformats.org/drawingml/2006/main">
              <a:solidFill>
                <a:srgbClr val="1E7A4A"/>
              </a:solidFill>
              <a:prstDash val="solid"/>
            </a:ln>
          </spPr>
          <cat>
            <numRef>
              <f>'01. 1103'!$AF$22:$AF$26</f>
            </numRef>
          </cat>
          <val>
            <numRef>
              <f>'01. 1103'!$AI$22:$AI$26</f>
            </numRef>
          </val>
        </ser>
        <ser>
          <idx val="1"/>
          <order val="1"/>
          <tx>
            <strRef>
              <f>'01. 1103'!AJ21</f>
            </strRef>
          </tx>
          <spPr>
            <a:solidFill xmlns:a="http://schemas.openxmlformats.org/drawingml/2006/main">
              <a:srgbClr val="27AE60"/>
            </a:solidFill>
            <a:ln xmlns:a="http://schemas.openxmlformats.org/drawingml/2006/main">
              <a:solidFill>
                <a:srgbClr val="27AE60"/>
              </a:solidFill>
              <a:prstDash val="solid"/>
            </a:ln>
          </spPr>
          <cat>
            <numRef>
              <f>'01. 1103'!$AF$22:$AF$26</f>
            </numRef>
          </cat>
          <val>
            <numRef>
              <f>'01. 1103'!$AJ$22:$AJ$26</f>
            </numRef>
          </val>
        </ser>
        <ser>
          <idx val="2"/>
          <order val="2"/>
          <tx>
            <strRef>
              <f>'01. 1103'!AK21</f>
            </strRef>
          </tx>
          <spPr>
            <a:solidFill xmlns:a="http://schemas.openxmlformats.org/drawingml/2006/main">
              <a:srgbClr val="A9DFBF"/>
            </a:solidFill>
            <a:ln xmlns:a="http://schemas.openxmlformats.org/drawingml/2006/main">
              <a:solidFill>
                <a:srgbClr val="A9DFBF"/>
              </a:solidFill>
              <a:prstDash val="solid"/>
            </a:ln>
          </spPr>
          <cat>
            <numRef>
              <f>'01. 1103'!$AF$22:$AF$26</f>
            </numRef>
          </cat>
          <val>
            <numRef>
              <f>'01. 1103'!$AK$22:$AK$26</f>
            </numRef>
          </val>
        </ser>
        <ser>
          <idx val="3"/>
          <order val="3"/>
          <tx>
            <strRef>
              <f>'01. 1103'!AL21</f>
            </strRef>
          </tx>
          <spPr>
            <a:solidFill xmlns:a="http://schemas.openxmlformats.org/drawingml/2006/main">
              <a:srgbClr val="D4670A"/>
            </a:solidFill>
            <a:ln xmlns:a="http://schemas.openxmlformats.org/drawingml/2006/main">
              <a:solidFill>
                <a:srgbClr val="D4670A"/>
              </a:solidFill>
              <a:prstDash val="solid"/>
            </a:ln>
          </spPr>
          <cat>
            <numRef>
              <f>'01. 1103'!$AF$22:$AF$26</f>
            </numRef>
          </cat>
          <val>
            <numRef>
              <f>'01. 1103'!$AL$22:$AL$26</f>
            </numRef>
          </val>
        </ser>
        <ser>
          <idx val="4"/>
          <order val="4"/>
          <tx>
            <strRef>
              <f>'01. 1103'!AM21</f>
            </strRef>
          </tx>
          <spPr>
            <a:solidFill xmlns:a="http://schemas.openxmlformats.org/drawingml/2006/main">
              <a:srgbClr val="E67E22"/>
            </a:solidFill>
            <a:ln xmlns:a="http://schemas.openxmlformats.org/drawingml/2006/main">
              <a:solidFill>
                <a:srgbClr val="E67E22"/>
              </a:solidFill>
              <a:prstDash val="solid"/>
            </a:ln>
          </spPr>
          <cat>
            <numRef>
              <f>'01. 1103'!$AF$22:$AF$26</f>
            </numRef>
          </cat>
          <val>
            <numRef>
              <f>'01. 1103'!$AM$22:$AM$26</f>
            </numRef>
          </val>
        </ser>
        <ser>
          <idx val="5"/>
          <order val="5"/>
          <tx>
            <strRef>
              <f>'01. 1103'!AN21</f>
            </strRef>
          </tx>
          <spPr>
            <a:solidFill xmlns:a="http://schemas.openxmlformats.org/drawingml/2006/main">
              <a:srgbClr val="F5CBA7"/>
            </a:solidFill>
            <a:ln xmlns:a="http://schemas.openxmlformats.org/drawingml/2006/main">
              <a:solidFill>
                <a:srgbClr val="F5CBA7"/>
              </a:solidFill>
              <a:prstDash val="solid"/>
            </a:ln>
          </spPr>
          <cat>
            <numRef>
              <f>'01. 1103'!$AF$22:$AF$26</f>
            </numRef>
          </cat>
          <val>
            <numRef>
              <f>'01. 1103'!$AN$22:$AN$26</f>
            </numRef>
          </val>
        </ser>
        <ser>
          <idx val="6"/>
          <order val="6"/>
          <tx>
            <strRef>
              <f>'01. 1103'!AO21</f>
            </strRef>
          </tx>
          <spPr>
            <a:solidFill xmlns:a="http://schemas.openxmlformats.org/drawingml/2006/main">
              <a:srgbClr val="2E86C1"/>
            </a:solidFill>
            <a:ln xmlns:a="http://schemas.openxmlformats.org/drawingml/2006/main">
              <a:solidFill>
                <a:srgbClr val="2E86C1"/>
              </a:solidFill>
              <a:prstDash val="solid"/>
            </a:ln>
          </spPr>
          <cat>
            <numRef>
              <f>'01. 1103'!$AF$22:$AF$26</f>
            </numRef>
          </cat>
          <val>
            <numRef>
              <f>'01. 1103'!$AO$22:$AO$26</f>
            </numRef>
          </val>
        </ser>
        <ser>
          <idx val="7"/>
          <order val="7"/>
          <tx>
            <strRef>
              <f>'01. 1103'!AP21</f>
            </strRef>
          </tx>
          <spPr>
            <a:solidFill xmlns:a="http://schemas.openxmlformats.org/drawingml/2006/main">
              <a:srgbClr val="C0392B"/>
            </a:solidFill>
            <a:ln xmlns:a="http://schemas.openxmlformats.org/drawingml/2006/main">
              <a:solidFill>
                <a:srgbClr val="C0392B"/>
              </a:solidFill>
              <a:prstDash val="solid"/>
            </a:ln>
          </spPr>
          <cat>
            <numRef>
              <f>'01. 1103'!$AF$22:$AF$26</f>
            </numRef>
          </cat>
          <val>
            <numRef>
              <f>'01. 1103'!$AP$22:$AP$26</f>
            </numRef>
          </val>
        </ser>
        <ser>
          <idx val="8"/>
          <order val="8"/>
          <tx>
            <strRef>
              <f>'01. 1103'!AQ21</f>
            </strRef>
          </tx>
          <spPr>
            <a:solidFill xmlns:a="http://schemas.openxmlformats.org/drawingml/2006/main">
              <a:srgbClr val="922B21"/>
            </a:solidFill>
            <a:ln xmlns:a="http://schemas.openxmlformats.org/drawingml/2006/main">
              <a:solidFill>
                <a:srgbClr val="922B21"/>
              </a:solidFill>
              <a:prstDash val="solid"/>
            </a:ln>
          </spPr>
          <cat>
            <numRef>
              <f>'01. 1103'!$AF$22:$AF$26</f>
            </numRef>
          </cat>
          <val>
            <numRef>
              <f>'01. 1103'!$AQ$22:$AQ$26</f>
            </numRef>
          </val>
        </ser>
        <ser>
          <idx val="9"/>
          <order val="9"/>
          <tx>
            <strRef>
              <f>'01. 1103'!AR21</f>
            </strRef>
          </tx>
          <spPr>
            <a:solidFill xmlns:a="http://schemas.openxmlformats.org/drawingml/2006/main">
              <a:srgbClr val="6C3483"/>
            </a:solidFill>
            <a:ln xmlns:a="http://schemas.openxmlformats.org/drawingml/2006/main">
              <a:solidFill>
                <a:srgbClr val="6C3483"/>
              </a:solidFill>
              <a:prstDash val="solid"/>
            </a:ln>
          </spPr>
          <cat>
            <numRef>
              <f>'01. 1103'!$AF$22:$AF$26</f>
            </numRef>
          </cat>
          <val>
            <numRef>
              <f>'01. 1103'!$AR$22:$AR$26</f>
            </numRef>
          </val>
        </ser>
        <ser>
          <idx val="10"/>
          <order val="10"/>
          <tx>
            <strRef>
              <f>'01. 1103'!AS21</f>
            </strRef>
          </tx>
          <spPr>
            <a:solidFill xmlns:a="http://schemas.openxmlformats.org/drawingml/2006/main">
              <a:srgbClr val="808080"/>
            </a:solidFill>
            <a:ln xmlns:a="http://schemas.openxmlformats.org/drawingml/2006/main">
              <a:solidFill>
                <a:srgbClr val="808080"/>
              </a:solidFill>
              <a:prstDash val="solid"/>
            </a:ln>
          </spPr>
          <cat>
            <numRef>
              <f>'01. 1103'!$AF$22:$AF$26</f>
            </numRef>
          </cat>
          <val>
            <numRef>
              <f>'01. 1103'!$AS$22:$AS$26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Kelas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Bilangan Murid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% LULUS MENGIKUT KELAS — 1119 BAHASA INGGERIS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'02. 1119'!AG21</f>
            </strRef>
          </tx>
          <spPr>
            <a:solidFill xmlns:a="http://schemas.openxmlformats.org/drawingml/2006/main">
              <a:srgbClr val="2E6DA4"/>
            </a:solidFill>
            <a:ln xmlns:a="http://schemas.openxmlformats.org/drawingml/2006/main">
              <a:solidFill>
                <a:srgbClr val="1A3A5C"/>
              </a:solidFill>
              <a:prstDash val="solid"/>
            </a:ln>
          </spPr>
          <cat>
            <numRef>
              <f>'02. 1119'!$AF$22:$AF$26</f>
            </numRef>
          </cat>
          <val>
            <numRef>
              <f>'02. 1119'!$AG$22:$AG$26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Kelas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Lulus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GRED PURATA (GP) MENGIKUT KELAS — 1119 BAHASA INGGERIS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'02. 1119'!AH21</f>
            </strRef>
          </tx>
          <spPr>
            <a:solidFill xmlns:a="http://schemas.openxmlformats.org/drawingml/2006/main">
              <a:srgbClr val="C8942A"/>
            </a:solidFill>
            <a:ln xmlns:a="http://schemas.openxmlformats.org/drawingml/2006/main">
              <a:solidFill>
                <a:srgbClr val="8B6320"/>
              </a:solidFill>
              <a:prstDash val="solid"/>
            </a:ln>
          </spPr>
          <cat>
            <numRef>
              <f>'02. 1119'!$AF$22:$AF$26</f>
            </numRef>
          </cat>
          <val>
            <numRef>
              <f>'02. 1119'!$AH$22:$AH$26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Kelas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9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GP (rendah = lebih baik)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TABURAN GRED MENGIKUT KELAS — 1119 BAHASA INGGERIS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'02. 1119'!AI21</f>
            </strRef>
          </tx>
          <spPr>
            <a:solidFill xmlns:a="http://schemas.openxmlformats.org/drawingml/2006/main">
              <a:srgbClr val="1E7A4A"/>
            </a:solidFill>
            <a:ln xmlns:a="http://schemas.openxmlformats.org/drawingml/2006/main">
              <a:solidFill>
                <a:srgbClr val="1E7A4A"/>
              </a:solidFill>
              <a:prstDash val="solid"/>
            </a:ln>
          </spPr>
          <cat>
            <numRef>
              <f>'02. 1119'!$AF$22:$AF$26</f>
            </numRef>
          </cat>
          <val>
            <numRef>
              <f>'02. 1119'!$AI$22:$AI$26</f>
            </numRef>
          </val>
        </ser>
        <ser>
          <idx val="1"/>
          <order val="1"/>
          <tx>
            <strRef>
              <f>'02. 1119'!AJ21</f>
            </strRef>
          </tx>
          <spPr>
            <a:solidFill xmlns:a="http://schemas.openxmlformats.org/drawingml/2006/main">
              <a:srgbClr val="27AE60"/>
            </a:solidFill>
            <a:ln xmlns:a="http://schemas.openxmlformats.org/drawingml/2006/main">
              <a:solidFill>
                <a:srgbClr val="27AE60"/>
              </a:solidFill>
              <a:prstDash val="solid"/>
            </a:ln>
          </spPr>
          <cat>
            <numRef>
              <f>'02. 1119'!$AF$22:$AF$26</f>
            </numRef>
          </cat>
          <val>
            <numRef>
              <f>'02. 1119'!$AJ$22:$AJ$26</f>
            </numRef>
          </val>
        </ser>
        <ser>
          <idx val="2"/>
          <order val="2"/>
          <tx>
            <strRef>
              <f>'02. 1119'!AK21</f>
            </strRef>
          </tx>
          <spPr>
            <a:solidFill xmlns:a="http://schemas.openxmlformats.org/drawingml/2006/main">
              <a:srgbClr val="A9DFBF"/>
            </a:solidFill>
            <a:ln xmlns:a="http://schemas.openxmlformats.org/drawingml/2006/main">
              <a:solidFill>
                <a:srgbClr val="A9DFBF"/>
              </a:solidFill>
              <a:prstDash val="solid"/>
            </a:ln>
          </spPr>
          <cat>
            <numRef>
              <f>'02. 1119'!$AF$22:$AF$26</f>
            </numRef>
          </cat>
          <val>
            <numRef>
              <f>'02. 1119'!$AK$22:$AK$26</f>
            </numRef>
          </val>
        </ser>
        <ser>
          <idx val="3"/>
          <order val="3"/>
          <tx>
            <strRef>
              <f>'02. 1119'!AL21</f>
            </strRef>
          </tx>
          <spPr>
            <a:solidFill xmlns:a="http://schemas.openxmlformats.org/drawingml/2006/main">
              <a:srgbClr val="D4670A"/>
            </a:solidFill>
            <a:ln xmlns:a="http://schemas.openxmlformats.org/drawingml/2006/main">
              <a:solidFill>
                <a:srgbClr val="D4670A"/>
              </a:solidFill>
              <a:prstDash val="solid"/>
            </a:ln>
          </spPr>
          <cat>
            <numRef>
              <f>'02. 1119'!$AF$22:$AF$26</f>
            </numRef>
          </cat>
          <val>
            <numRef>
              <f>'02. 1119'!$AL$22:$AL$26</f>
            </numRef>
          </val>
        </ser>
        <ser>
          <idx val="4"/>
          <order val="4"/>
          <tx>
            <strRef>
              <f>'02. 1119'!AM21</f>
            </strRef>
          </tx>
          <spPr>
            <a:solidFill xmlns:a="http://schemas.openxmlformats.org/drawingml/2006/main">
              <a:srgbClr val="E67E22"/>
            </a:solidFill>
            <a:ln xmlns:a="http://schemas.openxmlformats.org/drawingml/2006/main">
              <a:solidFill>
                <a:srgbClr val="E67E22"/>
              </a:solidFill>
              <a:prstDash val="solid"/>
            </a:ln>
          </spPr>
          <cat>
            <numRef>
              <f>'02. 1119'!$AF$22:$AF$26</f>
            </numRef>
          </cat>
          <val>
            <numRef>
              <f>'02. 1119'!$AM$22:$AM$26</f>
            </numRef>
          </val>
        </ser>
        <ser>
          <idx val="5"/>
          <order val="5"/>
          <tx>
            <strRef>
              <f>'02. 1119'!AN21</f>
            </strRef>
          </tx>
          <spPr>
            <a:solidFill xmlns:a="http://schemas.openxmlformats.org/drawingml/2006/main">
              <a:srgbClr val="F5CBA7"/>
            </a:solidFill>
            <a:ln xmlns:a="http://schemas.openxmlformats.org/drawingml/2006/main">
              <a:solidFill>
                <a:srgbClr val="F5CBA7"/>
              </a:solidFill>
              <a:prstDash val="solid"/>
            </a:ln>
          </spPr>
          <cat>
            <numRef>
              <f>'02. 1119'!$AF$22:$AF$26</f>
            </numRef>
          </cat>
          <val>
            <numRef>
              <f>'02. 1119'!$AN$22:$AN$26</f>
            </numRef>
          </val>
        </ser>
        <ser>
          <idx val="6"/>
          <order val="6"/>
          <tx>
            <strRef>
              <f>'02. 1119'!AO21</f>
            </strRef>
          </tx>
          <spPr>
            <a:solidFill xmlns:a="http://schemas.openxmlformats.org/drawingml/2006/main">
              <a:srgbClr val="2E86C1"/>
            </a:solidFill>
            <a:ln xmlns:a="http://schemas.openxmlformats.org/drawingml/2006/main">
              <a:solidFill>
                <a:srgbClr val="2E86C1"/>
              </a:solidFill>
              <a:prstDash val="solid"/>
            </a:ln>
          </spPr>
          <cat>
            <numRef>
              <f>'02. 1119'!$AF$22:$AF$26</f>
            </numRef>
          </cat>
          <val>
            <numRef>
              <f>'02. 1119'!$AO$22:$AO$26</f>
            </numRef>
          </val>
        </ser>
        <ser>
          <idx val="7"/>
          <order val="7"/>
          <tx>
            <strRef>
              <f>'02. 1119'!AP21</f>
            </strRef>
          </tx>
          <spPr>
            <a:solidFill xmlns:a="http://schemas.openxmlformats.org/drawingml/2006/main">
              <a:srgbClr val="C0392B"/>
            </a:solidFill>
            <a:ln xmlns:a="http://schemas.openxmlformats.org/drawingml/2006/main">
              <a:solidFill>
                <a:srgbClr val="C0392B"/>
              </a:solidFill>
              <a:prstDash val="solid"/>
            </a:ln>
          </spPr>
          <cat>
            <numRef>
              <f>'02. 1119'!$AF$22:$AF$26</f>
            </numRef>
          </cat>
          <val>
            <numRef>
              <f>'02. 1119'!$AP$22:$AP$26</f>
            </numRef>
          </val>
        </ser>
        <ser>
          <idx val="8"/>
          <order val="8"/>
          <tx>
            <strRef>
              <f>'02. 1119'!AQ21</f>
            </strRef>
          </tx>
          <spPr>
            <a:solidFill xmlns:a="http://schemas.openxmlformats.org/drawingml/2006/main">
              <a:srgbClr val="922B21"/>
            </a:solidFill>
            <a:ln xmlns:a="http://schemas.openxmlformats.org/drawingml/2006/main">
              <a:solidFill>
                <a:srgbClr val="922B21"/>
              </a:solidFill>
              <a:prstDash val="solid"/>
            </a:ln>
          </spPr>
          <cat>
            <numRef>
              <f>'02. 1119'!$AF$22:$AF$26</f>
            </numRef>
          </cat>
          <val>
            <numRef>
              <f>'02. 1119'!$AQ$22:$AQ$26</f>
            </numRef>
          </val>
        </ser>
        <ser>
          <idx val="9"/>
          <order val="9"/>
          <tx>
            <strRef>
              <f>'02. 1119'!AR21</f>
            </strRef>
          </tx>
          <spPr>
            <a:solidFill xmlns:a="http://schemas.openxmlformats.org/drawingml/2006/main">
              <a:srgbClr val="6C3483"/>
            </a:solidFill>
            <a:ln xmlns:a="http://schemas.openxmlformats.org/drawingml/2006/main">
              <a:solidFill>
                <a:srgbClr val="6C3483"/>
              </a:solidFill>
              <a:prstDash val="solid"/>
            </a:ln>
          </spPr>
          <cat>
            <numRef>
              <f>'02. 1119'!$AF$22:$AF$26</f>
            </numRef>
          </cat>
          <val>
            <numRef>
              <f>'02. 1119'!$AR$22:$AR$26</f>
            </numRef>
          </val>
        </ser>
        <ser>
          <idx val="10"/>
          <order val="10"/>
          <tx>
            <strRef>
              <f>'02. 1119'!AS21</f>
            </strRef>
          </tx>
          <spPr>
            <a:solidFill xmlns:a="http://schemas.openxmlformats.org/drawingml/2006/main">
              <a:srgbClr val="808080"/>
            </a:solidFill>
            <a:ln xmlns:a="http://schemas.openxmlformats.org/drawingml/2006/main">
              <a:solidFill>
                <a:srgbClr val="808080"/>
              </a:solidFill>
              <a:prstDash val="solid"/>
            </a:ln>
          </spPr>
          <cat>
            <numRef>
              <f>'02. 1119'!$AF$22:$AF$26</f>
            </numRef>
          </cat>
          <val>
            <numRef>
              <f>'02. 1119'!$AS$22:$AS$26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Kelas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Bilangan Murid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% LULUS MENGIKUT KELAS — 1449 MATEMATIK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'03. 1449'!AG21</f>
            </strRef>
          </tx>
          <spPr>
            <a:solidFill xmlns:a="http://schemas.openxmlformats.org/drawingml/2006/main">
              <a:srgbClr val="2E6DA4"/>
            </a:solidFill>
            <a:ln xmlns:a="http://schemas.openxmlformats.org/drawingml/2006/main">
              <a:solidFill>
                <a:srgbClr val="1A3A5C"/>
              </a:solidFill>
              <a:prstDash val="solid"/>
            </a:ln>
          </spPr>
          <cat>
            <numRef>
              <f>'03. 1449'!$AF$22:$AF$26</f>
            </numRef>
          </cat>
          <val>
            <numRef>
              <f>'03. 1449'!$AG$22:$AG$26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Kelas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Lulus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GRED PURATA (GP) MENGIKUT KELAS — 1449 MATEMATIK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'03. 1449'!AH21</f>
            </strRef>
          </tx>
          <spPr>
            <a:solidFill xmlns:a="http://schemas.openxmlformats.org/drawingml/2006/main">
              <a:srgbClr val="C8942A"/>
            </a:solidFill>
            <a:ln xmlns:a="http://schemas.openxmlformats.org/drawingml/2006/main">
              <a:solidFill>
                <a:srgbClr val="8B6320"/>
              </a:solidFill>
              <a:prstDash val="solid"/>
            </a:ln>
          </spPr>
          <cat>
            <numRef>
              <f>'03. 1449'!$AF$22:$AF$26</f>
            </numRef>
          </cat>
          <val>
            <numRef>
              <f>'03. 1449'!$AH$22:$AH$26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Kelas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9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GP (rendah = lebih baik)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TABURAN GRED MENGIKUT KELAS — 1449 MATEMATIK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'03. 1449'!AI21</f>
            </strRef>
          </tx>
          <spPr>
            <a:solidFill xmlns:a="http://schemas.openxmlformats.org/drawingml/2006/main">
              <a:srgbClr val="1E7A4A"/>
            </a:solidFill>
            <a:ln xmlns:a="http://schemas.openxmlformats.org/drawingml/2006/main">
              <a:solidFill>
                <a:srgbClr val="1E7A4A"/>
              </a:solidFill>
              <a:prstDash val="solid"/>
            </a:ln>
          </spPr>
          <cat>
            <numRef>
              <f>'03. 1449'!$AF$22:$AF$26</f>
            </numRef>
          </cat>
          <val>
            <numRef>
              <f>'03. 1449'!$AI$22:$AI$26</f>
            </numRef>
          </val>
        </ser>
        <ser>
          <idx val="1"/>
          <order val="1"/>
          <tx>
            <strRef>
              <f>'03. 1449'!AJ21</f>
            </strRef>
          </tx>
          <spPr>
            <a:solidFill xmlns:a="http://schemas.openxmlformats.org/drawingml/2006/main">
              <a:srgbClr val="27AE60"/>
            </a:solidFill>
            <a:ln xmlns:a="http://schemas.openxmlformats.org/drawingml/2006/main">
              <a:solidFill>
                <a:srgbClr val="27AE60"/>
              </a:solidFill>
              <a:prstDash val="solid"/>
            </a:ln>
          </spPr>
          <cat>
            <numRef>
              <f>'03. 1449'!$AF$22:$AF$26</f>
            </numRef>
          </cat>
          <val>
            <numRef>
              <f>'03. 1449'!$AJ$22:$AJ$26</f>
            </numRef>
          </val>
        </ser>
        <ser>
          <idx val="2"/>
          <order val="2"/>
          <tx>
            <strRef>
              <f>'03. 1449'!AK21</f>
            </strRef>
          </tx>
          <spPr>
            <a:solidFill xmlns:a="http://schemas.openxmlformats.org/drawingml/2006/main">
              <a:srgbClr val="A9DFBF"/>
            </a:solidFill>
            <a:ln xmlns:a="http://schemas.openxmlformats.org/drawingml/2006/main">
              <a:solidFill>
                <a:srgbClr val="A9DFBF"/>
              </a:solidFill>
              <a:prstDash val="solid"/>
            </a:ln>
          </spPr>
          <cat>
            <numRef>
              <f>'03. 1449'!$AF$22:$AF$26</f>
            </numRef>
          </cat>
          <val>
            <numRef>
              <f>'03. 1449'!$AK$22:$AK$26</f>
            </numRef>
          </val>
        </ser>
        <ser>
          <idx val="3"/>
          <order val="3"/>
          <tx>
            <strRef>
              <f>'03. 1449'!AL21</f>
            </strRef>
          </tx>
          <spPr>
            <a:solidFill xmlns:a="http://schemas.openxmlformats.org/drawingml/2006/main">
              <a:srgbClr val="D4670A"/>
            </a:solidFill>
            <a:ln xmlns:a="http://schemas.openxmlformats.org/drawingml/2006/main">
              <a:solidFill>
                <a:srgbClr val="D4670A"/>
              </a:solidFill>
              <a:prstDash val="solid"/>
            </a:ln>
          </spPr>
          <cat>
            <numRef>
              <f>'03. 1449'!$AF$22:$AF$26</f>
            </numRef>
          </cat>
          <val>
            <numRef>
              <f>'03. 1449'!$AL$22:$AL$26</f>
            </numRef>
          </val>
        </ser>
        <ser>
          <idx val="4"/>
          <order val="4"/>
          <tx>
            <strRef>
              <f>'03. 1449'!AM21</f>
            </strRef>
          </tx>
          <spPr>
            <a:solidFill xmlns:a="http://schemas.openxmlformats.org/drawingml/2006/main">
              <a:srgbClr val="E67E22"/>
            </a:solidFill>
            <a:ln xmlns:a="http://schemas.openxmlformats.org/drawingml/2006/main">
              <a:solidFill>
                <a:srgbClr val="E67E22"/>
              </a:solidFill>
              <a:prstDash val="solid"/>
            </a:ln>
          </spPr>
          <cat>
            <numRef>
              <f>'03. 1449'!$AF$22:$AF$26</f>
            </numRef>
          </cat>
          <val>
            <numRef>
              <f>'03. 1449'!$AM$22:$AM$26</f>
            </numRef>
          </val>
        </ser>
        <ser>
          <idx val="5"/>
          <order val="5"/>
          <tx>
            <strRef>
              <f>'03. 1449'!AN21</f>
            </strRef>
          </tx>
          <spPr>
            <a:solidFill xmlns:a="http://schemas.openxmlformats.org/drawingml/2006/main">
              <a:srgbClr val="F5CBA7"/>
            </a:solidFill>
            <a:ln xmlns:a="http://schemas.openxmlformats.org/drawingml/2006/main">
              <a:solidFill>
                <a:srgbClr val="F5CBA7"/>
              </a:solidFill>
              <a:prstDash val="solid"/>
            </a:ln>
          </spPr>
          <cat>
            <numRef>
              <f>'03. 1449'!$AF$22:$AF$26</f>
            </numRef>
          </cat>
          <val>
            <numRef>
              <f>'03. 1449'!$AN$22:$AN$26</f>
            </numRef>
          </val>
        </ser>
        <ser>
          <idx val="6"/>
          <order val="6"/>
          <tx>
            <strRef>
              <f>'03. 1449'!AO21</f>
            </strRef>
          </tx>
          <spPr>
            <a:solidFill xmlns:a="http://schemas.openxmlformats.org/drawingml/2006/main">
              <a:srgbClr val="2E86C1"/>
            </a:solidFill>
            <a:ln xmlns:a="http://schemas.openxmlformats.org/drawingml/2006/main">
              <a:solidFill>
                <a:srgbClr val="2E86C1"/>
              </a:solidFill>
              <a:prstDash val="solid"/>
            </a:ln>
          </spPr>
          <cat>
            <numRef>
              <f>'03. 1449'!$AF$22:$AF$26</f>
            </numRef>
          </cat>
          <val>
            <numRef>
              <f>'03. 1449'!$AO$22:$AO$26</f>
            </numRef>
          </val>
        </ser>
        <ser>
          <idx val="7"/>
          <order val="7"/>
          <tx>
            <strRef>
              <f>'03. 1449'!AP21</f>
            </strRef>
          </tx>
          <spPr>
            <a:solidFill xmlns:a="http://schemas.openxmlformats.org/drawingml/2006/main">
              <a:srgbClr val="C0392B"/>
            </a:solidFill>
            <a:ln xmlns:a="http://schemas.openxmlformats.org/drawingml/2006/main">
              <a:solidFill>
                <a:srgbClr val="C0392B"/>
              </a:solidFill>
              <a:prstDash val="solid"/>
            </a:ln>
          </spPr>
          <cat>
            <numRef>
              <f>'03. 1449'!$AF$22:$AF$26</f>
            </numRef>
          </cat>
          <val>
            <numRef>
              <f>'03. 1449'!$AP$22:$AP$26</f>
            </numRef>
          </val>
        </ser>
        <ser>
          <idx val="8"/>
          <order val="8"/>
          <tx>
            <strRef>
              <f>'03. 1449'!AQ21</f>
            </strRef>
          </tx>
          <spPr>
            <a:solidFill xmlns:a="http://schemas.openxmlformats.org/drawingml/2006/main">
              <a:srgbClr val="922B21"/>
            </a:solidFill>
            <a:ln xmlns:a="http://schemas.openxmlformats.org/drawingml/2006/main">
              <a:solidFill>
                <a:srgbClr val="922B21"/>
              </a:solidFill>
              <a:prstDash val="solid"/>
            </a:ln>
          </spPr>
          <cat>
            <numRef>
              <f>'03. 1449'!$AF$22:$AF$26</f>
            </numRef>
          </cat>
          <val>
            <numRef>
              <f>'03. 1449'!$AQ$22:$AQ$26</f>
            </numRef>
          </val>
        </ser>
        <ser>
          <idx val="9"/>
          <order val="9"/>
          <tx>
            <strRef>
              <f>'03. 1449'!AR21</f>
            </strRef>
          </tx>
          <spPr>
            <a:solidFill xmlns:a="http://schemas.openxmlformats.org/drawingml/2006/main">
              <a:srgbClr val="6C3483"/>
            </a:solidFill>
            <a:ln xmlns:a="http://schemas.openxmlformats.org/drawingml/2006/main">
              <a:solidFill>
                <a:srgbClr val="6C3483"/>
              </a:solidFill>
              <a:prstDash val="solid"/>
            </a:ln>
          </spPr>
          <cat>
            <numRef>
              <f>'03. 1449'!$AF$22:$AF$26</f>
            </numRef>
          </cat>
          <val>
            <numRef>
              <f>'03. 1449'!$AR$22:$AR$26</f>
            </numRef>
          </val>
        </ser>
        <ser>
          <idx val="10"/>
          <order val="10"/>
          <tx>
            <strRef>
              <f>'03. 1449'!AS21</f>
            </strRef>
          </tx>
          <spPr>
            <a:solidFill xmlns:a="http://schemas.openxmlformats.org/drawingml/2006/main">
              <a:srgbClr val="808080"/>
            </a:solidFill>
            <a:ln xmlns:a="http://schemas.openxmlformats.org/drawingml/2006/main">
              <a:solidFill>
                <a:srgbClr val="808080"/>
              </a:solidFill>
              <a:prstDash val="solid"/>
            </a:ln>
          </spPr>
          <cat>
            <numRef>
              <f>'03. 1449'!$AF$22:$AF$26</f>
            </numRef>
          </cat>
          <val>
            <numRef>
              <f>'03. 1449'!$AS$22:$AS$26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Kelas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Bilangan Murid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% LULUS MENGIKUT KELAS — 1511 SAINS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'04. 1511'!AG20</f>
            </strRef>
          </tx>
          <spPr>
            <a:solidFill xmlns:a="http://schemas.openxmlformats.org/drawingml/2006/main">
              <a:srgbClr val="2E6DA4"/>
            </a:solidFill>
            <a:ln xmlns:a="http://schemas.openxmlformats.org/drawingml/2006/main">
              <a:solidFill>
                <a:srgbClr val="1A3A5C"/>
              </a:solidFill>
              <a:prstDash val="solid"/>
            </a:ln>
          </spPr>
          <cat>
            <numRef>
              <f>'04. 1511'!$AF$21:$AF$24</f>
            </numRef>
          </cat>
          <val>
            <numRef>
              <f>'04. 1511'!$AG$21:$AG$24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Kelas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Lulus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GRED PURATA (GP) MENGIKUT KELAS — 1511 SAINS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'04. 1511'!AH20</f>
            </strRef>
          </tx>
          <spPr>
            <a:solidFill xmlns:a="http://schemas.openxmlformats.org/drawingml/2006/main">
              <a:srgbClr val="C8942A"/>
            </a:solidFill>
            <a:ln xmlns:a="http://schemas.openxmlformats.org/drawingml/2006/main">
              <a:solidFill>
                <a:srgbClr val="8B6320"/>
              </a:solidFill>
              <a:prstDash val="solid"/>
            </a:ln>
          </spPr>
          <cat>
            <numRef>
              <f>'04. 1511'!$AF$21:$AF$24</f>
            </numRef>
          </cat>
          <val>
            <numRef>
              <f>'04. 1511'!$AH$21:$AH$24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Kelas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9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GP (rendah = lebih baik)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TABURAN GRED MENGIKUT KELAS — 1511 SAINS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'04. 1511'!AI20</f>
            </strRef>
          </tx>
          <spPr>
            <a:solidFill xmlns:a="http://schemas.openxmlformats.org/drawingml/2006/main">
              <a:srgbClr val="1E7A4A"/>
            </a:solidFill>
            <a:ln xmlns:a="http://schemas.openxmlformats.org/drawingml/2006/main">
              <a:solidFill>
                <a:srgbClr val="1E7A4A"/>
              </a:solidFill>
              <a:prstDash val="solid"/>
            </a:ln>
          </spPr>
          <cat>
            <numRef>
              <f>'04. 1511'!$AF$21:$AF$24</f>
            </numRef>
          </cat>
          <val>
            <numRef>
              <f>'04. 1511'!$AI$21:$AI$24</f>
            </numRef>
          </val>
        </ser>
        <ser>
          <idx val="1"/>
          <order val="1"/>
          <tx>
            <strRef>
              <f>'04. 1511'!AJ20</f>
            </strRef>
          </tx>
          <spPr>
            <a:solidFill xmlns:a="http://schemas.openxmlformats.org/drawingml/2006/main">
              <a:srgbClr val="27AE60"/>
            </a:solidFill>
            <a:ln xmlns:a="http://schemas.openxmlformats.org/drawingml/2006/main">
              <a:solidFill>
                <a:srgbClr val="27AE60"/>
              </a:solidFill>
              <a:prstDash val="solid"/>
            </a:ln>
          </spPr>
          <cat>
            <numRef>
              <f>'04. 1511'!$AF$21:$AF$24</f>
            </numRef>
          </cat>
          <val>
            <numRef>
              <f>'04. 1511'!$AJ$21:$AJ$24</f>
            </numRef>
          </val>
        </ser>
        <ser>
          <idx val="2"/>
          <order val="2"/>
          <tx>
            <strRef>
              <f>'04. 1511'!AK20</f>
            </strRef>
          </tx>
          <spPr>
            <a:solidFill xmlns:a="http://schemas.openxmlformats.org/drawingml/2006/main">
              <a:srgbClr val="A9DFBF"/>
            </a:solidFill>
            <a:ln xmlns:a="http://schemas.openxmlformats.org/drawingml/2006/main">
              <a:solidFill>
                <a:srgbClr val="A9DFBF"/>
              </a:solidFill>
              <a:prstDash val="solid"/>
            </a:ln>
          </spPr>
          <cat>
            <numRef>
              <f>'04. 1511'!$AF$21:$AF$24</f>
            </numRef>
          </cat>
          <val>
            <numRef>
              <f>'04. 1511'!$AK$21:$AK$24</f>
            </numRef>
          </val>
        </ser>
        <ser>
          <idx val="3"/>
          <order val="3"/>
          <tx>
            <strRef>
              <f>'04. 1511'!AL20</f>
            </strRef>
          </tx>
          <spPr>
            <a:solidFill xmlns:a="http://schemas.openxmlformats.org/drawingml/2006/main">
              <a:srgbClr val="D4670A"/>
            </a:solidFill>
            <a:ln xmlns:a="http://schemas.openxmlformats.org/drawingml/2006/main">
              <a:solidFill>
                <a:srgbClr val="D4670A"/>
              </a:solidFill>
              <a:prstDash val="solid"/>
            </a:ln>
          </spPr>
          <cat>
            <numRef>
              <f>'04. 1511'!$AF$21:$AF$24</f>
            </numRef>
          </cat>
          <val>
            <numRef>
              <f>'04. 1511'!$AL$21:$AL$24</f>
            </numRef>
          </val>
        </ser>
        <ser>
          <idx val="4"/>
          <order val="4"/>
          <tx>
            <strRef>
              <f>'04. 1511'!AM20</f>
            </strRef>
          </tx>
          <spPr>
            <a:solidFill xmlns:a="http://schemas.openxmlformats.org/drawingml/2006/main">
              <a:srgbClr val="E67E22"/>
            </a:solidFill>
            <a:ln xmlns:a="http://schemas.openxmlformats.org/drawingml/2006/main">
              <a:solidFill>
                <a:srgbClr val="E67E22"/>
              </a:solidFill>
              <a:prstDash val="solid"/>
            </a:ln>
          </spPr>
          <cat>
            <numRef>
              <f>'04. 1511'!$AF$21:$AF$24</f>
            </numRef>
          </cat>
          <val>
            <numRef>
              <f>'04. 1511'!$AM$21:$AM$24</f>
            </numRef>
          </val>
        </ser>
        <ser>
          <idx val="5"/>
          <order val="5"/>
          <tx>
            <strRef>
              <f>'04. 1511'!AN20</f>
            </strRef>
          </tx>
          <spPr>
            <a:solidFill xmlns:a="http://schemas.openxmlformats.org/drawingml/2006/main">
              <a:srgbClr val="F5CBA7"/>
            </a:solidFill>
            <a:ln xmlns:a="http://schemas.openxmlformats.org/drawingml/2006/main">
              <a:solidFill>
                <a:srgbClr val="F5CBA7"/>
              </a:solidFill>
              <a:prstDash val="solid"/>
            </a:ln>
          </spPr>
          <cat>
            <numRef>
              <f>'04. 1511'!$AF$21:$AF$24</f>
            </numRef>
          </cat>
          <val>
            <numRef>
              <f>'04. 1511'!$AN$21:$AN$24</f>
            </numRef>
          </val>
        </ser>
        <ser>
          <idx val="6"/>
          <order val="6"/>
          <tx>
            <strRef>
              <f>'04. 1511'!AO20</f>
            </strRef>
          </tx>
          <spPr>
            <a:solidFill xmlns:a="http://schemas.openxmlformats.org/drawingml/2006/main">
              <a:srgbClr val="2E86C1"/>
            </a:solidFill>
            <a:ln xmlns:a="http://schemas.openxmlformats.org/drawingml/2006/main">
              <a:solidFill>
                <a:srgbClr val="2E86C1"/>
              </a:solidFill>
              <a:prstDash val="solid"/>
            </a:ln>
          </spPr>
          <cat>
            <numRef>
              <f>'04. 1511'!$AF$21:$AF$24</f>
            </numRef>
          </cat>
          <val>
            <numRef>
              <f>'04. 1511'!$AO$21:$AO$24</f>
            </numRef>
          </val>
        </ser>
        <ser>
          <idx val="7"/>
          <order val="7"/>
          <tx>
            <strRef>
              <f>'04. 1511'!AP20</f>
            </strRef>
          </tx>
          <spPr>
            <a:solidFill xmlns:a="http://schemas.openxmlformats.org/drawingml/2006/main">
              <a:srgbClr val="C0392B"/>
            </a:solidFill>
            <a:ln xmlns:a="http://schemas.openxmlformats.org/drawingml/2006/main">
              <a:solidFill>
                <a:srgbClr val="C0392B"/>
              </a:solidFill>
              <a:prstDash val="solid"/>
            </a:ln>
          </spPr>
          <cat>
            <numRef>
              <f>'04. 1511'!$AF$21:$AF$24</f>
            </numRef>
          </cat>
          <val>
            <numRef>
              <f>'04. 1511'!$AP$21:$AP$24</f>
            </numRef>
          </val>
        </ser>
        <ser>
          <idx val="8"/>
          <order val="8"/>
          <tx>
            <strRef>
              <f>'04. 1511'!AQ20</f>
            </strRef>
          </tx>
          <spPr>
            <a:solidFill xmlns:a="http://schemas.openxmlformats.org/drawingml/2006/main">
              <a:srgbClr val="922B21"/>
            </a:solidFill>
            <a:ln xmlns:a="http://schemas.openxmlformats.org/drawingml/2006/main">
              <a:solidFill>
                <a:srgbClr val="922B21"/>
              </a:solidFill>
              <a:prstDash val="solid"/>
            </a:ln>
          </spPr>
          <cat>
            <numRef>
              <f>'04. 1511'!$AF$21:$AF$24</f>
            </numRef>
          </cat>
          <val>
            <numRef>
              <f>'04. 1511'!$AQ$21:$AQ$24</f>
            </numRef>
          </val>
        </ser>
        <ser>
          <idx val="9"/>
          <order val="9"/>
          <tx>
            <strRef>
              <f>'04. 1511'!AR20</f>
            </strRef>
          </tx>
          <spPr>
            <a:solidFill xmlns:a="http://schemas.openxmlformats.org/drawingml/2006/main">
              <a:srgbClr val="6C3483"/>
            </a:solidFill>
            <a:ln xmlns:a="http://schemas.openxmlformats.org/drawingml/2006/main">
              <a:solidFill>
                <a:srgbClr val="6C3483"/>
              </a:solidFill>
              <a:prstDash val="solid"/>
            </a:ln>
          </spPr>
          <cat>
            <numRef>
              <f>'04. 1511'!$AF$21:$AF$24</f>
            </numRef>
          </cat>
          <val>
            <numRef>
              <f>'04. 1511'!$AR$21:$AR$24</f>
            </numRef>
          </val>
        </ser>
        <ser>
          <idx val="10"/>
          <order val="10"/>
          <tx>
            <strRef>
              <f>'04. 1511'!AS20</f>
            </strRef>
          </tx>
          <spPr>
            <a:solidFill xmlns:a="http://schemas.openxmlformats.org/drawingml/2006/main">
              <a:srgbClr val="808080"/>
            </a:solidFill>
            <a:ln xmlns:a="http://schemas.openxmlformats.org/drawingml/2006/main">
              <a:solidFill>
                <a:srgbClr val="808080"/>
              </a:solidFill>
              <a:prstDash val="solid"/>
            </a:ln>
          </spPr>
          <cat>
            <numRef>
              <f>'04. 1511'!$AF$21:$AF$24</f>
            </numRef>
          </cat>
          <val>
            <numRef>
              <f>'04. 1511'!$AS$21:$AS$24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Kelas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Bilangan Murid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% LULUS MENGIKUT KELAS — 1249 SEJARAH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'05. 1249'!AG21</f>
            </strRef>
          </tx>
          <spPr>
            <a:solidFill xmlns:a="http://schemas.openxmlformats.org/drawingml/2006/main">
              <a:srgbClr val="2E6DA4"/>
            </a:solidFill>
            <a:ln xmlns:a="http://schemas.openxmlformats.org/drawingml/2006/main">
              <a:solidFill>
                <a:srgbClr val="1A3A5C"/>
              </a:solidFill>
              <a:prstDash val="solid"/>
            </a:ln>
          </spPr>
          <cat>
            <numRef>
              <f>'05. 1249'!$AF$22:$AF$26</f>
            </numRef>
          </cat>
          <val>
            <numRef>
              <f>'05. 1249'!$AG$22:$AG$26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Kelas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Lulus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GRED PURATA (GP) MENGIKUT KELAS — 1249 SEJARAH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'05. 1249'!AH21</f>
            </strRef>
          </tx>
          <spPr>
            <a:solidFill xmlns:a="http://schemas.openxmlformats.org/drawingml/2006/main">
              <a:srgbClr val="C8942A"/>
            </a:solidFill>
            <a:ln xmlns:a="http://schemas.openxmlformats.org/drawingml/2006/main">
              <a:solidFill>
                <a:srgbClr val="8B6320"/>
              </a:solidFill>
              <a:prstDash val="solid"/>
            </a:ln>
          </spPr>
          <cat>
            <numRef>
              <f>'05. 1249'!$AF$22:$AF$26</f>
            </numRef>
          </cat>
          <val>
            <numRef>
              <f>'05. 1249'!$AH$22:$AH$26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Kelas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9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GP (rendah = lebih baik)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TABURAN GRED MENGIKUT KELAS — 1249 SEJARAH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'05. 1249'!AI21</f>
            </strRef>
          </tx>
          <spPr>
            <a:solidFill xmlns:a="http://schemas.openxmlformats.org/drawingml/2006/main">
              <a:srgbClr val="1E7A4A"/>
            </a:solidFill>
            <a:ln xmlns:a="http://schemas.openxmlformats.org/drawingml/2006/main">
              <a:solidFill>
                <a:srgbClr val="1E7A4A"/>
              </a:solidFill>
              <a:prstDash val="solid"/>
            </a:ln>
          </spPr>
          <cat>
            <numRef>
              <f>'05. 1249'!$AF$22:$AF$26</f>
            </numRef>
          </cat>
          <val>
            <numRef>
              <f>'05. 1249'!$AI$22:$AI$26</f>
            </numRef>
          </val>
        </ser>
        <ser>
          <idx val="1"/>
          <order val="1"/>
          <tx>
            <strRef>
              <f>'05. 1249'!AJ21</f>
            </strRef>
          </tx>
          <spPr>
            <a:solidFill xmlns:a="http://schemas.openxmlformats.org/drawingml/2006/main">
              <a:srgbClr val="27AE60"/>
            </a:solidFill>
            <a:ln xmlns:a="http://schemas.openxmlformats.org/drawingml/2006/main">
              <a:solidFill>
                <a:srgbClr val="27AE60"/>
              </a:solidFill>
              <a:prstDash val="solid"/>
            </a:ln>
          </spPr>
          <cat>
            <numRef>
              <f>'05. 1249'!$AF$22:$AF$26</f>
            </numRef>
          </cat>
          <val>
            <numRef>
              <f>'05. 1249'!$AJ$22:$AJ$26</f>
            </numRef>
          </val>
        </ser>
        <ser>
          <idx val="2"/>
          <order val="2"/>
          <tx>
            <strRef>
              <f>'05. 1249'!AK21</f>
            </strRef>
          </tx>
          <spPr>
            <a:solidFill xmlns:a="http://schemas.openxmlformats.org/drawingml/2006/main">
              <a:srgbClr val="A9DFBF"/>
            </a:solidFill>
            <a:ln xmlns:a="http://schemas.openxmlformats.org/drawingml/2006/main">
              <a:solidFill>
                <a:srgbClr val="A9DFBF"/>
              </a:solidFill>
              <a:prstDash val="solid"/>
            </a:ln>
          </spPr>
          <cat>
            <numRef>
              <f>'05. 1249'!$AF$22:$AF$26</f>
            </numRef>
          </cat>
          <val>
            <numRef>
              <f>'05. 1249'!$AK$22:$AK$26</f>
            </numRef>
          </val>
        </ser>
        <ser>
          <idx val="3"/>
          <order val="3"/>
          <tx>
            <strRef>
              <f>'05. 1249'!AL21</f>
            </strRef>
          </tx>
          <spPr>
            <a:solidFill xmlns:a="http://schemas.openxmlformats.org/drawingml/2006/main">
              <a:srgbClr val="D4670A"/>
            </a:solidFill>
            <a:ln xmlns:a="http://schemas.openxmlformats.org/drawingml/2006/main">
              <a:solidFill>
                <a:srgbClr val="D4670A"/>
              </a:solidFill>
              <a:prstDash val="solid"/>
            </a:ln>
          </spPr>
          <cat>
            <numRef>
              <f>'05. 1249'!$AF$22:$AF$26</f>
            </numRef>
          </cat>
          <val>
            <numRef>
              <f>'05. 1249'!$AL$22:$AL$26</f>
            </numRef>
          </val>
        </ser>
        <ser>
          <idx val="4"/>
          <order val="4"/>
          <tx>
            <strRef>
              <f>'05. 1249'!AM21</f>
            </strRef>
          </tx>
          <spPr>
            <a:solidFill xmlns:a="http://schemas.openxmlformats.org/drawingml/2006/main">
              <a:srgbClr val="E67E22"/>
            </a:solidFill>
            <a:ln xmlns:a="http://schemas.openxmlformats.org/drawingml/2006/main">
              <a:solidFill>
                <a:srgbClr val="E67E22"/>
              </a:solidFill>
              <a:prstDash val="solid"/>
            </a:ln>
          </spPr>
          <cat>
            <numRef>
              <f>'05. 1249'!$AF$22:$AF$26</f>
            </numRef>
          </cat>
          <val>
            <numRef>
              <f>'05. 1249'!$AM$22:$AM$26</f>
            </numRef>
          </val>
        </ser>
        <ser>
          <idx val="5"/>
          <order val="5"/>
          <tx>
            <strRef>
              <f>'05. 1249'!AN21</f>
            </strRef>
          </tx>
          <spPr>
            <a:solidFill xmlns:a="http://schemas.openxmlformats.org/drawingml/2006/main">
              <a:srgbClr val="F5CBA7"/>
            </a:solidFill>
            <a:ln xmlns:a="http://schemas.openxmlformats.org/drawingml/2006/main">
              <a:solidFill>
                <a:srgbClr val="F5CBA7"/>
              </a:solidFill>
              <a:prstDash val="solid"/>
            </a:ln>
          </spPr>
          <cat>
            <numRef>
              <f>'05. 1249'!$AF$22:$AF$26</f>
            </numRef>
          </cat>
          <val>
            <numRef>
              <f>'05. 1249'!$AN$22:$AN$26</f>
            </numRef>
          </val>
        </ser>
        <ser>
          <idx val="6"/>
          <order val="6"/>
          <tx>
            <strRef>
              <f>'05. 1249'!AO21</f>
            </strRef>
          </tx>
          <spPr>
            <a:solidFill xmlns:a="http://schemas.openxmlformats.org/drawingml/2006/main">
              <a:srgbClr val="2E86C1"/>
            </a:solidFill>
            <a:ln xmlns:a="http://schemas.openxmlformats.org/drawingml/2006/main">
              <a:solidFill>
                <a:srgbClr val="2E86C1"/>
              </a:solidFill>
              <a:prstDash val="solid"/>
            </a:ln>
          </spPr>
          <cat>
            <numRef>
              <f>'05. 1249'!$AF$22:$AF$26</f>
            </numRef>
          </cat>
          <val>
            <numRef>
              <f>'05. 1249'!$AO$22:$AO$26</f>
            </numRef>
          </val>
        </ser>
        <ser>
          <idx val="7"/>
          <order val="7"/>
          <tx>
            <strRef>
              <f>'05. 1249'!AP21</f>
            </strRef>
          </tx>
          <spPr>
            <a:solidFill xmlns:a="http://schemas.openxmlformats.org/drawingml/2006/main">
              <a:srgbClr val="C0392B"/>
            </a:solidFill>
            <a:ln xmlns:a="http://schemas.openxmlformats.org/drawingml/2006/main">
              <a:solidFill>
                <a:srgbClr val="C0392B"/>
              </a:solidFill>
              <a:prstDash val="solid"/>
            </a:ln>
          </spPr>
          <cat>
            <numRef>
              <f>'05. 1249'!$AF$22:$AF$26</f>
            </numRef>
          </cat>
          <val>
            <numRef>
              <f>'05. 1249'!$AP$22:$AP$26</f>
            </numRef>
          </val>
        </ser>
        <ser>
          <idx val="8"/>
          <order val="8"/>
          <tx>
            <strRef>
              <f>'05. 1249'!AQ21</f>
            </strRef>
          </tx>
          <spPr>
            <a:solidFill xmlns:a="http://schemas.openxmlformats.org/drawingml/2006/main">
              <a:srgbClr val="922B21"/>
            </a:solidFill>
            <a:ln xmlns:a="http://schemas.openxmlformats.org/drawingml/2006/main">
              <a:solidFill>
                <a:srgbClr val="922B21"/>
              </a:solidFill>
              <a:prstDash val="solid"/>
            </a:ln>
          </spPr>
          <cat>
            <numRef>
              <f>'05. 1249'!$AF$22:$AF$26</f>
            </numRef>
          </cat>
          <val>
            <numRef>
              <f>'05. 1249'!$AQ$22:$AQ$26</f>
            </numRef>
          </val>
        </ser>
        <ser>
          <idx val="9"/>
          <order val="9"/>
          <tx>
            <strRef>
              <f>'05. 1249'!AR21</f>
            </strRef>
          </tx>
          <spPr>
            <a:solidFill xmlns:a="http://schemas.openxmlformats.org/drawingml/2006/main">
              <a:srgbClr val="6C3483"/>
            </a:solidFill>
            <a:ln xmlns:a="http://schemas.openxmlformats.org/drawingml/2006/main">
              <a:solidFill>
                <a:srgbClr val="6C3483"/>
              </a:solidFill>
              <a:prstDash val="solid"/>
            </a:ln>
          </spPr>
          <cat>
            <numRef>
              <f>'05. 1249'!$AF$22:$AF$26</f>
            </numRef>
          </cat>
          <val>
            <numRef>
              <f>'05. 1249'!$AR$22:$AR$26</f>
            </numRef>
          </val>
        </ser>
        <ser>
          <idx val="10"/>
          <order val="10"/>
          <tx>
            <strRef>
              <f>'05. 1249'!AS21</f>
            </strRef>
          </tx>
          <spPr>
            <a:solidFill xmlns:a="http://schemas.openxmlformats.org/drawingml/2006/main">
              <a:srgbClr val="808080"/>
            </a:solidFill>
            <a:ln xmlns:a="http://schemas.openxmlformats.org/drawingml/2006/main">
              <a:solidFill>
                <a:srgbClr val="808080"/>
              </a:solidFill>
              <a:prstDash val="solid"/>
            </a:ln>
          </spPr>
          <cat>
            <numRef>
              <f>'05. 1249'!$AF$22:$AF$26</f>
            </numRef>
          </cat>
          <val>
            <numRef>
              <f>'05. 1249'!$AS$22:$AS$26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Kelas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Bilangan Murid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% LULUS MENGIKUT KELAS — 1223 PENDIDIKAN ISLAM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'06. 1223'!AG21</f>
            </strRef>
          </tx>
          <spPr>
            <a:solidFill xmlns:a="http://schemas.openxmlformats.org/drawingml/2006/main">
              <a:srgbClr val="2E6DA4"/>
            </a:solidFill>
            <a:ln xmlns:a="http://schemas.openxmlformats.org/drawingml/2006/main">
              <a:solidFill>
                <a:srgbClr val="1A3A5C"/>
              </a:solidFill>
              <a:prstDash val="solid"/>
            </a:ln>
          </spPr>
          <cat>
            <numRef>
              <f>'06. 1223'!$AF$22:$AF$26</f>
            </numRef>
          </cat>
          <val>
            <numRef>
              <f>'06. 1223'!$AG$22:$AG$26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Kelas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Lulus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GRED PURATA (GP) MENGIKUT KELAS — 1223 PENDIDIKAN ISLAM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'06. 1223'!AH21</f>
            </strRef>
          </tx>
          <spPr>
            <a:solidFill xmlns:a="http://schemas.openxmlformats.org/drawingml/2006/main">
              <a:srgbClr val="C8942A"/>
            </a:solidFill>
            <a:ln xmlns:a="http://schemas.openxmlformats.org/drawingml/2006/main">
              <a:solidFill>
                <a:srgbClr val="8B6320"/>
              </a:solidFill>
              <a:prstDash val="solid"/>
            </a:ln>
          </spPr>
          <cat>
            <numRef>
              <f>'06. 1223'!$AF$22:$AF$26</f>
            </numRef>
          </cat>
          <val>
            <numRef>
              <f>'06. 1223'!$AH$22:$AH$26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Kelas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9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GP (rendah = lebih baik)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TABURAN GRED MENGIKUT KELAS — 1223 PENDIDIKAN ISLAM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'06. 1223'!AI21</f>
            </strRef>
          </tx>
          <spPr>
            <a:solidFill xmlns:a="http://schemas.openxmlformats.org/drawingml/2006/main">
              <a:srgbClr val="1E7A4A"/>
            </a:solidFill>
            <a:ln xmlns:a="http://schemas.openxmlformats.org/drawingml/2006/main">
              <a:solidFill>
                <a:srgbClr val="1E7A4A"/>
              </a:solidFill>
              <a:prstDash val="solid"/>
            </a:ln>
          </spPr>
          <cat>
            <numRef>
              <f>'06. 1223'!$AF$22:$AF$26</f>
            </numRef>
          </cat>
          <val>
            <numRef>
              <f>'06. 1223'!$AI$22:$AI$26</f>
            </numRef>
          </val>
        </ser>
        <ser>
          <idx val="1"/>
          <order val="1"/>
          <tx>
            <strRef>
              <f>'06. 1223'!AJ21</f>
            </strRef>
          </tx>
          <spPr>
            <a:solidFill xmlns:a="http://schemas.openxmlformats.org/drawingml/2006/main">
              <a:srgbClr val="27AE60"/>
            </a:solidFill>
            <a:ln xmlns:a="http://schemas.openxmlformats.org/drawingml/2006/main">
              <a:solidFill>
                <a:srgbClr val="27AE60"/>
              </a:solidFill>
              <a:prstDash val="solid"/>
            </a:ln>
          </spPr>
          <cat>
            <numRef>
              <f>'06. 1223'!$AF$22:$AF$26</f>
            </numRef>
          </cat>
          <val>
            <numRef>
              <f>'06. 1223'!$AJ$22:$AJ$26</f>
            </numRef>
          </val>
        </ser>
        <ser>
          <idx val="2"/>
          <order val="2"/>
          <tx>
            <strRef>
              <f>'06. 1223'!AK21</f>
            </strRef>
          </tx>
          <spPr>
            <a:solidFill xmlns:a="http://schemas.openxmlformats.org/drawingml/2006/main">
              <a:srgbClr val="A9DFBF"/>
            </a:solidFill>
            <a:ln xmlns:a="http://schemas.openxmlformats.org/drawingml/2006/main">
              <a:solidFill>
                <a:srgbClr val="A9DFBF"/>
              </a:solidFill>
              <a:prstDash val="solid"/>
            </a:ln>
          </spPr>
          <cat>
            <numRef>
              <f>'06. 1223'!$AF$22:$AF$26</f>
            </numRef>
          </cat>
          <val>
            <numRef>
              <f>'06. 1223'!$AK$22:$AK$26</f>
            </numRef>
          </val>
        </ser>
        <ser>
          <idx val="3"/>
          <order val="3"/>
          <tx>
            <strRef>
              <f>'06. 1223'!AL21</f>
            </strRef>
          </tx>
          <spPr>
            <a:solidFill xmlns:a="http://schemas.openxmlformats.org/drawingml/2006/main">
              <a:srgbClr val="D4670A"/>
            </a:solidFill>
            <a:ln xmlns:a="http://schemas.openxmlformats.org/drawingml/2006/main">
              <a:solidFill>
                <a:srgbClr val="D4670A"/>
              </a:solidFill>
              <a:prstDash val="solid"/>
            </a:ln>
          </spPr>
          <cat>
            <numRef>
              <f>'06. 1223'!$AF$22:$AF$26</f>
            </numRef>
          </cat>
          <val>
            <numRef>
              <f>'06. 1223'!$AL$22:$AL$26</f>
            </numRef>
          </val>
        </ser>
        <ser>
          <idx val="4"/>
          <order val="4"/>
          <tx>
            <strRef>
              <f>'06. 1223'!AM21</f>
            </strRef>
          </tx>
          <spPr>
            <a:solidFill xmlns:a="http://schemas.openxmlformats.org/drawingml/2006/main">
              <a:srgbClr val="E67E22"/>
            </a:solidFill>
            <a:ln xmlns:a="http://schemas.openxmlformats.org/drawingml/2006/main">
              <a:solidFill>
                <a:srgbClr val="E67E22"/>
              </a:solidFill>
              <a:prstDash val="solid"/>
            </a:ln>
          </spPr>
          <cat>
            <numRef>
              <f>'06. 1223'!$AF$22:$AF$26</f>
            </numRef>
          </cat>
          <val>
            <numRef>
              <f>'06. 1223'!$AM$22:$AM$26</f>
            </numRef>
          </val>
        </ser>
        <ser>
          <idx val="5"/>
          <order val="5"/>
          <tx>
            <strRef>
              <f>'06. 1223'!AN21</f>
            </strRef>
          </tx>
          <spPr>
            <a:solidFill xmlns:a="http://schemas.openxmlformats.org/drawingml/2006/main">
              <a:srgbClr val="F5CBA7"/>
            </a:solidFill>
            <a:ln xmlns:a="http://schemas.openxmlformats.org/drawingml/2006/main">
              <a:solidFill>
                <a:srgbClr val="F5CBA7"/>
              </a:solidFill>
              <a:prstDash val="solid"/>
            </a:ln>
          </spPr>
          <cat>
            <numRef>
              <f>'06. 1223'!$AF$22:$AF$26</f>
            </numRef>
          </cat>
          <val>
            <numRef>
              <f>'06. 1223'!$AN$22:$AN$26</f>
            </numRef>
          </val>
        </ser>
        <ser>
          <idx val="6"/>
          <order val="6"/>
          <tx>
            <strRef>
              <f>'06. 1223'!AO21</f>
            </strRef>
          </tx>
          <spPr>
            <a:solidFill xmlns:a="http://schemas.openxmlformats.org/drawingml/2006/main">
              <a:srgbClr val="2E86C1"/>
            </a:solidFill>
            <a:ln xmlns:a="http://schemas.openxmlformats.org/drawingml/2006/main">
              <a:solidFill>
                <a:srgbClr val="2E86C1"/>
              </a:solidFill>
              <a:prstDash val="solid"/>
            </a:ln>
          </spPr>
          <cat>
            <numRef>
              <f>'06. 1223'!$AF$22:$AF$26</f>
            </numRef>
          </cat>
          <val>
            <numRef>
              <f>'06. 1223'!$AO$22:$AO$26</f>
            </numRef>
          </val>
        </ser>
        <ser>
          <idx val="7"/>
          <order val="7"/>
          <tx>
            <strRef>
              <f>'06. 1223'!AP21</f>
            </strRef>
          </tx>
          <spPr>
            <a:solidFill xmlns:a="http://schemas.openxmlformats.org/drawingml/2006/main">
              <a:srgbClr val="C0392B"/>
            </a:solidFill>
            <a:ln xmlns:a="http://schemas.openxmlformats.org/drawingml/2006/main">
              <a:solidFill>
                <a:srgbClr val="C0392B"/>
              </a:solidFill>
              <a:prstDash val="solid"/>
            </a:ln>
          </spPr>
          <cat>
            <numRef>
              <f>'06. 1223'!$AF$22:$AF$26</f>
            </numRef>
          </cat>
          <val>
            <numRef>
              <f>'06. 1223'!$AP$22:$AP$26</f>
            </numRef>
          </val>
        </ser>
        <ser>
          <idx val="8"/>
          <order val="8"/>
          <tx>
            <strRef>
              <f>'06. 1223'!AQ21</f>
            </strRef>
          </tx>
          <spPr>
            <a:solidFill xmlns:a="http://schemas.openxmlformats.org/drawingml/2006/main">
              <a:srgbClr val="922B21"/>
            </a:solidFill>
            <a:ln xmlns:a="http://schemas.openxmlformats.org/drawingml/2006/main">
              <a:solidFill>
                <a:srgbClr val="922B21"/>
              </a:solidFill>
              <a:prstDash val="solid"/>
            </a:ln>
          </spPr>
          <cat>
            <numRef>
              <f>'06. 1223'!$AF$22:$AF$26</f>
            </numRef>
          </cat>
          <val>
            <numRef>
              <f>'06. 1223'!$AQ$22:$AQ$26</f>
            </numRef>
          </val>
        </ser>
        <ser>
          <idx val="9"/>
          <order val="9"/>
          <tx>
            <strRef>
              <f>'06. 1223'!AR21</f>
            </strRef>
          </tx>
          <spPr>
            <a:solidFill xmlns:a="http://schemas.openxmlformats.org/drawingml/2006/main">
              <a:srgbClr val="6C3483"/>
            </a:solidFill>
            <a:ln xmlns:a="http://schemas.openxmlformats.org/drawingml/2006/main">
              <a:solidFill>
                <a:srgbClr val="6C3483"/>
              </a:solidFill>
              <a:prstDash val="solid"/>
            </a:ln>
          </spPr>
          <cat>
            <numRef>
              <f>'06. 1223'!$AF$22:$AF$26</f>
            </numRef>
          </cat>
          <val>
            <numRef>
              <f>'06. 1223'!$AR$22:$AR$26</f>
            </numRef>
          </val>
        </ser>
        <ser>
          <idx val="10"/>
          <order val="10"/>
          <tx>
            <strRef>
              <f>'06. 1223'!AS21</f>
            </strRef>
          </tx>
          <spPr>
            <a:solidFill xmlns:a="http://schemas.openxmlformats.org/drawingml/2006/main">
              <a:srgbClr val="808080"/>
            </a:solidFill>
            <a:ln xmlns:a="http://schemas.openxmlformats.org/drawingml/2006/main">
              <a:solidFill>
                <a:srgbClr val="808080"/>
              </a:solidFill>
              <a:prstDash val="solid"/>
            </a:ln>
          </spPr>
          <cat>
            <numRef>
              <f>'06. 1223'!$AF$22:$AF$26</f>
            </numRef>
          </cat>
          <val>
            <numRef>
              <f>'06. 1223'!$AS$22:$AS$26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Kelas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Bilangan Murid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% LULUS MENGIKUT KELAS — 1225 PENDIDIKAN MORAL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'07. 1225'!AG20</f>
            </strRef>
          </tx>
          <spPr>
            <a:solidFill xmlns:a="http://schemas.openxmlformats.org/drawingml/2006/main">
              <a:srgbClr val="2E6DA4"/>
            </a:solidFill>
            <a:ln xmlns:a="http://schemas.openxmlformats.org/drawingml/2006/main">
              <a:solidFill>
                <a:srgbClr val="1A3A5C"/>
              </a:solidFill>
              <a:prstDash val="solid"/>
            </a:ln>
          </spPr>
          <cat>
            <numRef>
              <f>'07. 1225'!$AF$21:$AF$24</f>
            </numRef>
          </cat>
          <val>
            <numRef>
              <f>'07. 1225'!$AG$21:$AG$24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Kelas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Lulus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GRED PURATA (GP) MENGIKUT KELAS — 1225 PENDIDIKAN MORAL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'07. 1225'!AH20</f>
            </strRef>
          </tx>
          <spPr>
            <a:solidFill xmlns:a="http://schemas.openxmlformats.org/drawingml/2006/main">
              <a:srgbClr val="C8942A"/>
            </a:solidFill>
            <a:ln xmlns:a="http://schemas.openxmlformats.org/drawingml/2006/main">
              <a:solidFill>
                <a:srgbClr val="8B6320"/>
              </a:solidFill>
              <a:prstDash val="solid"/>
            </a:ln>
          </spPr>
          <cat>
            <numRef>
              <f>'07. 1225'!$AF$21:$AF$24</f>
            </numRef>
          </cat>
          <val>
            <numRef>
              <f>'07. 1225'!$AH$21:$AH$24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Kelas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9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GP (rendah = lebih baik)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TABURAN GRED MENGIKUT KELAS — 1225 PENDIDIKAN MORAL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'07. 1225'!AI20</f>
            </strRef>
          </tx>
          <spPr>
            <a:solidFill xmlns:a="http://schemas.openxmlformats.org/drawingml/2006/main">
              <a:srgbClr val="1E7A4A"/>
            </a:solidFill>
            <a:ln xmlns:a="http://schemas.openxmlformats.org/drawingml/2006/main">
              <a:solidFill>
                <a:srgbClr val="1E7A4A"/>
              </a:solidFill>
              <a:prstDash val="solid"/>
            </a:ln>
          </spPr>
          <cat>
            <numRef>
              <f>'07. 1225'!$AF$21:$AF$24</f>
            </numRef>
          </cat>
          <val>
            <numRef>
              <f>'07. 1225'!$AI$21:$AI$24</f>
            </numRef>
          </val>
        </ser>
        <ser>
          <idx val="1"/>
          <order val="1"/>
          <tx>
            <strRef>
              <f>'07. 1225'!AJ20</f>
            </strRef>
          </tx>
          <spPr>
            <a:solidFill xmlns:a="http://schemas.openxmlformats.org/drawingml/2006/main">
              <a:srgbClr val="27AE60"/>
            </a:solidFill>
            <a:ln xmlns:a="http://schemas.openxmlformats.org/drawingml/2006/main">
              <a:solidFill>
                <a:srgbClr val="27AE60"/>
              </a:solidFill>
              <a:prstDash val="solid"/>
            </a:ln>
          </spPr>
          <cat>
            <numRef>
              <f>'07. 1225'!$AF$21:$AF$24</f>
            </numRef>
          </cat>
          <val>
            <numRef>
              <f>'07. 1225'!$AJ$21:$AJ$24</f>
            </numRef>
          </val>
        </ser>
        <ser>
          <idx val="2"/>
          <order val="2"/>
          <tx>
            <strRef>
              <f>'07. 1225'!AK20</f>
            </strRef>
          </tx>
          <spPr>
            <a:solidFill xmlns:a="http://schemas.openxmlformats.org/drawingml/2006/main">
              <a:srgbClr val="A9DFBF"/>
            </a:solidFill>
            <a:ln xmlns:a="http://schemas.openxmlformats.org/drawingml/2006/main">
              <a:solidFill>
                <a:srgbClr val="A9DFBF"/>
              </a:solidFill>
              <a:prstDash val="solid"/>
            </a:ln>
          </spPr>
          <cat>
            <numRef>
              <f>'07. 1225'!$AF$21:$AF$24</f>
            </numRef>
          </cat>
          <val>
            <numRef>
              <f>'07. 1225'!$AK$21:$AK$24</f>
            </numRef>
          </val>
        </ser>
        <ser>
          <idx val="3"/>
          <order val="3"/>
          <tx>
            <strRef>
              <f>'07. 1225'!AL20</f>
            </strRef>
          </tx>
          <spPr>
            <a:solidFill xmlns:a="http://schemas.openxmlformats.org/drawingml/2006/main">
              <a:srgbClr val="D4670A"/>
            </a:solidFill>
            <a:ln xmlns:a="http://schemas.openxmlformats.org/drawingml/2006/main">
              <a:solidFill>
                <a:srgbClr val="D4670A"/>
              </a:solidFill>
              <a:prstDash val="solid"/>
            </a:ln>
          </spPr>
          <cat>
            <numRef>
              <f>'07. 1225'!$AF$21:$AF$24</f>
            </numRef>
          </cat>
          <val>
            <numRef>
              <f>'07. 1225'!$AL$21:$AL$24</f>
            </numRef>
          </val>
        </ser>
        <ser>
          <idx val="4"/>
          <order val="4"/>
          <tx>
            <strRef>
              <f>'07. 1225'!AM20</f>
            </strRef>
          </tx>
          <spPr>
            <a:solidFill xmlns:a="http://schemas.openxmlformats.org/drawingml/2006/main">
              <a:srgbClr val="E67E22"/>
            </a:solidFill>
            <a:ln xmlns:a="http://schemas.openxmlformats.org/drawingml/2006/main">
              <a:solidFill>
                <a:srgbClr val="E67E22"/>
              </a:solidFill>
              <a:prstDash val="solid"/>
            </a:ln>
          </spPr>
          <cat>
            <numRef>
              <f>'07. 1225'!$AF$21:$AF$24</f>
            </numRef>
          </cat>
          <val>
            <numRef>
              <f>'07. 1225'!$AM$21:$AM$24</f>
            </numRef>
          </val>
        </ser>
        <ser>
          <idx val="5"/>
          <order val="5"/>
          <tx>
            <strRef>
              <f>'07. 1225'!AN20</f>
            </strRef>
          </tx>
          <spPr>
            <a:solidFill xmlns:a="http://schemas.openxmlformats.org/drawingml/2006/main">
              <a:srgbClr val="F5CBA7"/>
            </a:solidFill>
            <a:ln xmlns:a="http://schemas.openxmlformats.org/drawingml/2006/main">
              <a:solidFill>
                <a:srgbClr val="F5CBA7"/>
              </a:solidFill>
              <a:prstDash val="solid"/>
            </a:ln>
          </spPr>
          <cat>
            <numRef>
              <f>'07. 1225'!$AF$21:$AF$24</f>
            </numRef>
          </cat>
          <val>
            <numRef>
              <f>'07. 1225'!$AN$21:$AN$24</f>
            </numRef>
          </val>
        </ser>
        <ser>
          <idx val="6"/>
          <order val="6"/>
          <tx>
            <strRef>
              <f>'07. 1225'!AO20</f>
            </strRef>
          </tx>
          <spPr>
            <a:solidFill xmlns:a="http://schemas.openxmlformats.org/drawingml/2006/main">
              <a:srgbClr val="2E86C1"/>
            </a:solidFill>
            <a:ln xmlns:a="http://schemas.openxmlformats.org/drawingml/2006/main">
              <a:solidFill>
                <a:srgbClr val="2E86C1"/>
              </a:solidFill>
              <a:prstDash val="solid"/>
            </a:ln>
          </spPr>
          <cat>
            <numRef>
              <f>'07. 1225'!$AF$21:$AF$24</f>
            </numRef>
          </cat>
          <val>
            <numRef>
              <f>'07. 1225'!$AO$21:$AO$24</f>
            </numRef>
          </val>
        </ser>
        <ser>
          <idx val="7"/>
          <order val="7"/>
          <tx>
            <strRef>
              <f>'07. 1225'!AP20</f>
            </strRef>
          </tx>
          <spPr>
            <a:solidFill xmlns:a="http://schemas.openxmlformats.org/drawingml/2006/main">
              <a:srgbClr val="C0392B"/>
            </a:solidFill>
            <a:ln xmlns:a="http://schemas.openxmlformats.org/drawingml/2006/main">
              <a:solidFill>
                <a:srgbClr val="C0392B"/>
              </a:solidFill>
              <a:prstDash val="solid"/>
            </a:ln>
          </spPr>
          <cat>
            <numRef>
              <f>'07. 1225'!$AF$21:$AF$24</f>
            </numRef>
          </cat>
          <val>
            <numRef>
              <f>'07. 1225'!$AP$21:$AP$24</f>
            </numRef>
          </val>
        </ser>
        <ser>
          <idx val="8"/>
          <order val="8"/>
          <tx>
            <strRef>
              <f>'07. 1225'!AQ20</f>
            </strRef>
          </tx>
          <spPr>
            <a:solidFill xmlns:a="http://schemas.openxmlformats.org/drawingml/2006/main">
              <a:srgbClr val="922B21"/>
            </a:solidFill>
            <a:ln xmlns:a="http://schemas.openxmlformats.org/drawingml/2006/main">
              <a:solidFill>
                <a:srgbClr val="922B21"/>
              </a:solidFill>
              <a:prstDash val="solid"/>
            </a:ln>
          </spPr>
          <cat>
            <numRef>
              <f>'07. 1225'!$AF$21:$AF$24</f>
            </numRef>
          </cat>
          <val>
            <numRef>
              <f>'07. 1225'!$AQ$21:$AQ$24</f>
            </numRef>
          </val>
        </ser>
        <ser>
          <idx val="9"/>
          <order val="9"/>
          <tx>
            <strRef>
              <f>'07. 1225'!AR20</f>
            </strRef>
          </tx>
          <spPr>
            <a:solidFill xmlns:a="http://schemas.openxmlformats.org/drawingml/2006/main">
              <a:srgbClr val="6C3483"/>
            </a:solidFill>
            <a:ln xmlns:a="http://schemas.openxmlformats.org/drawingml/2006/main">
              <a:solidFill>
                <a:srgbClr val="6C3483"/>
              </a:solidFill>
              <a:prstDash val="solid"/>
            </a:ln>
          </spPr>
          <cat>
            <numRef>
              <f>'07. 1225'!$AF$21:$AF$24</f>
            </numRef>
          </cat>
          <val>
            <numRef>
              <f>'07. 1225'!$AR$21:$AR$24</f>
            </numRef>
          </val>
        </ser>
        <ser>
          <idx val="10"/>
          <order val="10"/>
          <tx>
            <strRef>
              <f>'07. 1225'!AS20</f>
            </strRef>
          </tx>
          <spPr>
            <a:solidFill xmlns:a="http://schemas.openxmlformats.org/drawingml/2006/main">
              <a:srgbClr val="808080"/>
            </a:solidFill>
            <a:ln xmlns:a="http://schemas.openxmlformats.org/drawingml/2006/main">
              <a:solidFill>
                <a:srgbClr val="808080"/>
              </a:solidFill>
              <a:prstDash val="solid"/>
            </a:ln>
          </spPr>
          <cat>
            <numRef>
              <f>'07. 1225'!$AF$21:$AF$24</f>
            </numRef>
          </cat>
          <val>
            <numRef>
              <f>'07. 1225'!$AS$21:$AS$24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Kelas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Bilangan Murid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% LULUS MENGIKUT KELAS — 4551 BIOLOGI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'08. 4551'!AG17</f>
            </strRef>
          </tx>
          <spPr>
            <a:solidFill xmlns:a="http://schemas.openxmlformats.org/drawingml/2006/main">
              <a:srgbClr val="2E6DA4"/>
            </a:solidFill>
            <a:ln xmlns:a="http://schemas.openxmlformats.org/drawingml/2006/main">
              <a:solidFill>
                <a:srgbClr val="1A3A5C"/>
              </a:solidFill>
              <a:prstDash val="solid"/>
            </a:ln>
          </spPr>
          <cat>
            <numRef>
              <f>'08. 4551'!$AF$18</f>
            </numRef>
          </cat>
          <val>
            <numRef>
              <f>'08. 4551'!$AG$18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Kelas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Lulus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GRED PURATA (GP) MENGIKUT KELAS — 4551 BIOLOGI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'08. 4551'!AH17</f>
            </strRef>
          </tx>
          <spPr>
            <a:solidFill xmlns:a="http://schemas.openxmlformats.org/drawingml/2006/main">
              <a:srgbClr val="C8942A"/>
            </a:solidFill>
            <a:ln xmlns:a="http://schemas.openxmlformats.org/drawingml/2006/main">
              <a:solidFill>
                <a:srgbClr val="8B6320"/>
              </a:solidFill>
              <a:prstDash val="solid"/>
            </a:ln>
          </spPr>
          <cat>
            <numRef>
              <f>'08. 4551'!$AF$18</f>
            </numRef>
          </cat>
          <val>
            <numRef>
              <f>'08. 4551'!$AH$18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Kelas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9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GP (rendah = lebih baik)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% LULUS MENGIKUT KELAS — 3767 EKONOMI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'09. 3767'!AG18</f>
            </strRef>
          </tx>
          <spPr>
            <a:solidFill xmlns:a="http://schemas.openxmlformats.org/drawingml/2006/main">
              <a:srgbClr val="2E6DA4"/>
            </a:solidFill>
            <a:ln xmlns:a="http://schemas.openxmlformats.org/drawingml/2006/main">
              <a:solidFill>
                <a:srgbClr val="1A3A5C"/>
              </a:solidFill>
              <a:prstDash val="solid"/>
            </a:ln>
          </spPr>
          <cat>
            <numRef>
              <f>'09. 3767'!$AF$19:$AF$20</f>
            </numRef>
          </cat>
          <val>
            <numRef>
              <f>'09. 3767'!$AG$19:$AG$20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Kelas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Lulus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GRED PURATA (GP) MENGIKUT KELAS — 3767 EKONOMI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'09. 3767'!AH18</f>
            </strRef>
          </tx>
          <spPr>
            <a:solidFill xmlns:a="http://schemas.openxmlformats.org/drawingml/2006/main">
              <a:srgbClr val="C8942A"/>
            </a:solidFill>
            <a:ln xmlns:a="http://schemas.openxmlformats.org/drawingml/2006/main">
              <a:solidFill>
                <a:srgbClr val="8B6320"/>
              </a:solidFill>
              <a:prstDash val="solid"/>
            </a:ln>
          </spPr>
          <cat>
            <numRef>
              <f>'09. 3767'!$AF$19:$AF$20</f>
            </numRef>
          </cat>
          <val>
            <numRef>
              <f>'09. 3767'!$AH$19:$AH$20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Kelas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9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GP (rendah = lebih baik)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TABURAN GRED MENGIKUT KELAS — 3767 EKONOMI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'09. 3767'!AI18</f>
            </strRef>
          </tx>
          <spPr>
            <a:solidFill xmlns:a="http://schemas.openxmlformats.org/drawingml/2006/main">
              <a:srgbClr val="1E7A4A"/>
            </a:solidFill>
            <a:ln xmlns:a="http://schemas.openxmlformats.org/drawingml/2006/main">
              <a:solidFill>
                <a:srgbClr val="1E7A4A"/>
              </a:solidFill>
              <a:prstDash val="solid"/>
            </a:ln>
          </spPr>
          <cat>
            <numRef>
              <f>'09. 3767'!$AF$19:$AF$20</f>
            </numRef>
          </cat>
          <val>
            <numRef>
              <f>'09. 3767'!$AI$19:$AI$20</f>
            </numRef>
          </val>
        </ser>
        <ser>
          <idx val="1"/>
          <order val="1"/>
          <tx>
            <strRef>
              <f>'09. 3767'!AJ18</f>
            </strRef>
          </tx>
          <spPr>
            <a:solidFill xmlns:a="http://schemas.openxmlformats.org/drawingml/2006/main">
              <a:srgbClr val="27AE60"/>
            </a:solidFill>
            <a:ln xmlns:a="http://schemas.openxmlformats.org/drawingml/2006/main">
              <a:solidFill>
                <a:srgbClr val="27AE60"/>
              </a:solidFill>
              <a:prstDash val="solid"/>
            </a:ln>
          </spPr>
          <cat>
            <numRef>
              <f>'09. 3767'!$AF$19:$AF$20</f>
            </numRef>
          </cat>
          <val>
            <numRef>
              <f>'09. 3767'!$AJ$19:$AJ$20</f>
            </numRef>
          </val>
        </ser>
        <ser>
          <idx val="2"/>
          <order val="2"/>
          <tx>
            <strRef>
              <f>'09. 3767'!AK18</f>
            </strRef>
          </tx>
          <spPr>
            <a:solidFill xmlns:a="http://schemas.openxmlformats.org/drawingml/2006/main">
              <a:srgbClr val="A9DFBF"/>
            </a:solidFill>
            <a:ln xmlns:a="http://schemas.openxmlformats.org/drawingml/2006/main">
              <a:solidFill>
                <a:srgbClr val="A9DFBF"/>
              </a:solidFill>
              <a:prstDash val="solid"/>
            </a:ln>
          </spPr>
          <cat>
            <numRef>
              <f>'09. 3767'!$AF$19:$AF$20</f>
            </numRef>
          </cat>
          <val>
            <numRef>
              <f>'09. 3767'!$AK$19:$AK$20</f>
            </numRef>
          </val>
        </ser>
        <ser>
          <idx val="3"/>
          <order val="3"/>
          <tx>
            <strRef>
              <f>'09. 3767'!AL18</f>
            </strRef>
          </tx>
          <spPr>
            <a:solidFill xmlns:a="http://schemas.openxmlformats.org/drawingml/2006/main">
              <a:srgbClr val="D4670A"/>
            </a:solidFill>
            <a:ln xmlns:a="http://schemas.openxmlformats.org/drawingml/2006/main">
              <a:solidFill>
                <a:srgbClr val="D4670A"/>
              </a:solidFill>
              <a:prstDash val="solid"/>
            </a:ln>
          </spPr>
          <cat>
            <numRef>
              <f>'09. 3767'!$AF$19:$AF$20</f>
            </numRef>
          </cat>
          <val>
            <numRef>
              <f>'09. 3767'!$AL$19:$AL$20</f>
            </numRef>
          </val>
        </ser>
        <ser>
          <idx val="4"/>
          <order val="4"/>
          <tx>
            <strRef>
              <f>'09. 3767'!AM18</f>
            </strRef>
          </tx>
          <spPr>
            <a:solidFill xmlns:a="http://schemas.openxmlformats.org/drawingml/2006/main">
              <a:srgbClr val="E67E22"/>
            </a:solidFill>
            <a:ln xmlns:a="http://schemas.openxmlformats.org/drawingml/2006/main">
              <a:solidFill>
                <a:srgbClr val="E67E22"/>
              </a:solidFill>
              <a:prstDash val="solid"/>
            </a:ln>
          </spPr>
          <cat>
            <numRef>
              <f>'09. 3767'!$AF$19:$AF$20</f>
            </numRef>
          </cat>
          <val>
            <numRef>
              <f>'09. 3767'!$AM$19:$AM$20</f>
            </numRef>
          </val>
        </ser>
        <ser>
          <idx val="5"/>
          <order val="5"/>
          <tx>
            <strRef>
              <f>'09. 3767'!AN18</f>
            </strRef>
          </tx>
          <spPr>
            <a:solidFill xmlns:a="http://schemas.openxmlformats.org/drawingml/2006/main">
              <a:srgbClr val="F5CBA7"/>
            </a:solidFill>
            <a:ln xmlns:a="http://schemas.openxmlformats.org/drawingml/2006/main">
              <a:solidFill>
                <a:srgbClr val="F5CBA7"/>
              </a:solidFill>
              <a:prstDash val="solid"/>
            </a:ln>
          </spPr>
          <cat>
            <numRef>
              <f>'09. 3767'!$AF$19:$AF$20</f>
            </numRef>
          </cat>
          <val>
            <numRef>
              <f>'09. 3767'!$AN$19:$AN$20</f>
            </numRef>
          </val>
        </ser>
        <ser>
          <idx val="6"/>
          <order val="6"/>
          <tx>
            <strRef>
              <f>'09. 3767'!AO18</f>
            </strRef>
          </tx>
          <spPr>
            <a:solidFill xmlns:a="http://schemas.openxmlformats.org/drawingml/2006/main">
              <a:srgbClr val="2E86C1"/>
            </a:solidFill>
            <a:ln xmlns:a="http://schemas.openxmlformats.org/drawingml/2006/main">
              <a:solidFill>
                <a:srgbClr val="2E86C1"/>
              </a:solidFill>
              <a:prstDash val="solid"/>
            </a:ln>
          </spPr>
          <cat>
            <numRef>
              <f>'09. 3767'!$AF$19:$AF$20</f>
            </numRef>
          </cat>
          <val>
            <numRef>
              <f>'09. 3767'!$AO$19:$AO$20</f>
            </numRef>
          </val>
        </ser>
        <ser>
          <idx val="7"/>
          <order val="7"/>
          <tx>
            <strRef>
              <f>'09. 3767'!AP18</f>
            </strRef>
          </tx>
          <spPr>
            <a:solidFill xmlns:a="http://schemas.openxmlformats.org/drawingml/2006/main">
              <a:srgbClr val="C0392B"/>
            </a:solidFill>
            <a:ln xmlns:a="http://schemas.openxmlformats.org/drawingml/2006/main">
              <a:solidFill>
                <a:srgbClr val="C0392B"/>
              </a:solidFill>
              <a:prstDash val="solid"/>
            </a:ln>
          </spPr>
          <cat>
            <numRef>
              <f>'09. 3767'!$AF$19:$AF$20</f>
            </numRef>
          </cat>
          <val>
            <numRef>
              <f>'09. 3767'!$AP$19:$AP$20</f>
            </numRef>
          </val>
        </ser>
        <ser>
          <idx val="8"/>
          <order val="8"/>
          <tx>
            <strRef>
              <f>'09. 3767'!AQ18</f>
            </strRef>
          </tx>
          <spPr>
            <a:solidFill xmlns:a="http://schemas.openxmlformats.org/drawingml/2006/main">
              <a:srgbClr val="922B21"/>
            </a:solidFill>
            <a:ln xmlns:a="http://schemas.openxmlformats.org/drawingml/2006/main">
              <a:solidFill>
                <a:srgbClr val="922B21"/>
              </a:solidFill>
              <a:prstDash val="solid"/>
            </a:ln>
          </spPr>
          <cat>
            <numRef>
              <f>'09. 3767'!$AF$19:$AF$20</f>
            </numRef>
          </cat>
          <val>
            <numRef>
              <f>'09. 3767'!$AQ$19:$AQ$20</f>
            </numRef>
          </val>
        </ser>
        <ser>
          <idx val="9"/>
          <order val="9"/>
          <tx>
            <strRef>
              <f>'09. 3767'!AR18</f>
            </strRef>
          </tx>
          <spPr>
            <a:solidFill xmlns:a="http://schemas.openxmlformats.org/drawingml/2006/main">
              <a:srgbClr val="6C3483"/>
            </a:solidFill>
            <a:ln xmlns:a="http://schemas.openxmlformats.org/drawingml/2006/main">
              <a:solidFill>
                <a:srgbClr val="6C3483"/>
              </a:solidFill>
              <a:prstDash val="solid"/>
            </a:ln>
          </spPr>
          <cat>
            <numRef>
              <f>'09. 3767'!$AF$19:$AF$20</f>
            </numRef>
          </cat>
          <val>
            <numRef>
              <f>'09. 3767'!$AR$19:$AR$20</f>
            </numRef>
          </val>
        </ser>
        <ser>
          <idx val="10"/>
          <order val="10"/>
          <tx>
            <strRef>
              <f>'09. 3767'!AS18</f>
            </strRef>
          </tx>
          <spPr>
            <a:solidFill xmlns:a="http://schemas.openxmlformats.org/drawingml/2006/main">
              <a:srgbClr val="808080"/>
            </a:solidFill>
            <a:ln xmlns:a="http://schemas.openxmlformats.org/drawingml/2006/main">
              <a:solidFill>
                <a:srgbClr val="808080"/>
              </a:solidFill>
              <a:prstDash val="solid"/>
            </a:ln>
          </spPr>
          <cat>
            <numRef>
              <f>'09. 3767'!$AF$19:$AF$20</f>
            </numRef>
          </cat>
          <val>
            <numRef>
              <f>'09. 3767'!$AS$19:$AS$20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Kelas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Bilangan Murid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% LULUS MENGIKUT KELAS — 4531 FIZIK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'10. 4531'!AG17</f>
            </strRef>
          </tx>
          <spPr>
            <a:solidFill xmlns:a="http://schemas.openxmlformats.org/drawingml/2006/main">
              <a:srgbClr val="2E6DA4"/>
            </a:solidFill>
            <a:ln xmlns:a="http://schemas.openxmlformats.org/drawingml/2006/main">
              <a:solidFill>
                <a:srgbClr val="1A3A5C"/>
              </a:solidFill>
              <a:prstDash val="solid"/>
            </a:ln>
          </spPr>
          <cat>
            <numRef>
              <f>'10. 4531'!$AF$18</f>
            </numRef>
          </cat>
          <val>
            <numRef>
              <f>'10. 4531'!$AG$18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Kelas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Lulus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GRED PURATA (GP) MENGIKUT KELAS — 4531 FIZIK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'10. 4531'!AH17</f>
            </strRef>
          </tx>
          <spPr>
            <a:solidFill xmlns:a="http://schemas.openxmlformats.org/drawingml/2006/main">
              <a:srgbClr val="C8942A"/>
            </a:solidFill>
            <a:ln xmlns:a="http://schemas.openxmlformats.org/drawingml/2006/main">
              <a:solidFill>
                <a:srgbClr val="8B6320"/>
              </a:solidFill>
              <a:prstDash val="solid"/>
            </a:ln>
          </spPr>
          <cat>
            <numRef>
              <f>'10. 4531'!$AF$18</f>
            </numRef>
          </cat>
          <val>
            <numRef>
              <f>'10. 4531'!$AH$18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Kelas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9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GP (rendah = lebih baik)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% LULUS MENGIKUT KELAS — 4541 KIMIA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'11. 4541'!AG17</f>
            </strRef>
          </tx>
          <spPr>
            <a:solidFill xmlns:a="http://schemas.openxmlformats.org/drawingml/2006/main">
              <a:srgbClr val="2E6DA4"/>
            </a:solidFill>
            <a:ln xmlns:a="http://schemas.openxmlformats.org/drawingml/2006/main">
              <a:solidFill>
                <a:srgbClr val="1A3A5C"/>
              </a:solidFill>
              <a:prstDash val="solid"/>
            </a:ln>
          </spPr>
          <cat>
            <numRef>
              <f>'11. 4541'!$AF$18</f>
            </numRef>
          </cat>
          <val>
            <numRef>
              <f>'11. 4541'!$AG$18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Kelas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Lulus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GRED PURATA (GP) MENGIKUT KELAS — 4541 KIMIA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'11. 4541'!AH17</f>
            </strRef>
          </tx>
          <spPr>
            <a:solidFill xmlns:a="http://schemas.openxmlformats.org/drawingml/2006/main">
              <a:srgbClr val="C8942A"/>
            </a:solidFill>
            <a:ln xmlns:a="http://schemas.openxmlformats.org/drawingml/2006/main">
              <a:solidFill>
                <a:srgbClr val="8B6320"/>
              </a:solidFill>
              <a:prstDash val="solid"/>
            </a:ln>
          </spPr>
          <cat>
            <numRef>
              <f>'11. 4541'!$AF$18</f>
            </numRef>
          </cat>
          <val>
            <numRef>
              <f>'11. 4541'!$AH$18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Kelas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9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GP (rendah = lebih baik)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% LULUS MENGIKUT KELAS — 3472 MATEMATIK TAMBAHAN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'12. 3472'!AG18</f>
            </strRef>
          </tx>
          <spPr>
            <a:solidFill xmlns:a="http://schemas.openxmlformats.org/drawingml/2006/main">
              <a:srgbClr val="2E6DA4"/>
            </a:solidFill>
            <a:ln xmlns:a="http://schemas.openxmlformats.org/drawingml/2006/main">
              <a:solidFill>
                <a:srgbClr val="1A3A5C"/>
              </a:solidFill>
              <a:prstDash val="solid"/>
            </a:ln>
          </spPr>
          <cat>
            <numRef>
              <f>'12. 3472'!$AF$19:$AF$20</f>
            </numRef>
          </cat>
          <val>
            <numRef>
              <f>'12. 3472'!$AG$19:$AG$20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Kelas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Lulus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GRED PURATA (GP) MENGIKUT KELAS — 3472 MATEMATIK TAMBAHAN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'12. 3472'!AH18</f>
            </strRef>
          </tx>
          <spPr>
            <a:solidFill xmlns:a="http://schemas.openxmlformats.org/drawingml/2006/main">
              <a:srgbClr val="C8942A"/>
            </a:solidFill>
            <a:ln xmlns:a="http://schemas.openxmlformats.org/drawingml/2006/main">
              <a:solidFill>
                <a:srgbClr val="8B6320"/>
              </a:solidFill>
              <a:prstDash val="solid"/>
            </a:ln>
          </spPr>
          <cat>
            <numRef>
              <f>'12. 3472'!$AF$19:$AF$20</f>
            </numRef>
          </cat>
          <val>
            <numRef>
              <f>'12. 3472'!$AH$19:$AH$20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Kelas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9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GP (rendah = lebih baik)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TABURAN GRED MENGIKUT KELAS — 3472 MATEMATIK TAMBAHAN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'12. 3472'!AI18</f>
            </strRef>
          </tx>
          <spPr>
            <a:solidFill xmlns:a="http://schemas.openxmlformats.org/drawingml/2006/main">
              <a:srgbClr val="1E7A4A"/>
            </a:solidFill>
            <a:ln xmlns:a="http://schemas.openxmlformats.org/drawingml/2006/main">
              <a:solidFill>
                <a:srgbClr val="1E7A4A"/>
              </a:solidFill>
              <a:prstDash val="solid"/>
            </a:ln>
          </spPr>
          <cat>
            <numRef>
              <f>'12. 3472'!$AF$19:$AF$20</f>
            </numRef>
          </cat>
          <val>
            <numRef>
              <f>'12. 3472'!$AI$19:$AI$20</f>
            </numRef>
          </val>
        </ser>
        <ser>
          <idx val="1"/>
          <order val="1"/>
          <tx>
            <strRef>
              <f>'12. 3472'!AJ18</f>
            </strRef>
          </tx>
          <spPr>
            <a:solidFill xmlns:a="http://schemas.openxmlformats.org/drawingml/2006/main">
              <a:srgbClr val="27AE60"/>
            </a:solidFill>
            <a:ln xmlns:a="http://schemas.openxmlformats.org/drawingml/2006/main">
              <a:solidFill>
                <a:srgbClr val="27AE60"/>
              </a:solidFill>
              <a:prstDash val="solid"/>
            </a:ln>
          </spPr>
          <cat>
            <numRef>
              <f>'12. 3472'!$AF$19:$AF$20</f>
            </numRef>
          </cat>
          <val>
            <numRef>
              <f>'12. 3472'!$AJ$19:$AJ$20</f>
            </numRef>
          </val>
        </ser>
        <ser>
          <idx val="2"/>
          <order val="2"/>
          <tx>
            <strRef>
              <f>'12. 3472'!AK18</f>
            </strRef>
          </tx>
          <spPr>
            <a:solidFill xmlns:a="http://schemas.openxmlformats.org/drawingml/2006/main">
              <a:srgbClr val="A9DFBF"/>
            </a:solidFill>
            <a:ln xmlns:a="http://schemas.openxmlformats.org/drawingml/2006/main">
              <a:solidFill>
                <a:srgbClr val="A9DFBF"/>
              </a:solidFill>
              <a:prstDash val="solid"/>
            </a:ln>
          </spPr>
          <cat>
            <numRef>
              <f>'12. 3472'!$AF$19:$AF$20</f>
            </numRef>
          </cat>
          <val>
            <numRef>
              <f>'12. 3472'!$AK$19:$AK$20</f>
            </numRef>
          </val>
        </ser>
        <ser>
          <idx val="3"/>
          <order val="3"/>
          <tx>
            <strRef>
              <f>'12. 3472'!AL18</f>
            </strRef>
          </tx>
          <spPr>
            <a:solidFill xmlns:a="http://schemas.openxmlformats.org/drawingml/2006/main">
              <a:srgbClr val="D4670A"/>
            </a:solidFill>
            <a:ln xmlns:a="http://schemas.openxmlformats.org/drawingml/2006/main">
              <a:solidFill>
                <a:srgbClr val="D4670A"/>
              </a:solidFill>
              <a:prstDash val="solid"/>
            </a:ln>
          </spPr>
          <cat>
            <numRef>
              <f>'12. 3472'!$AF$19:$AF$20</f>
            </numRef>
          </cat>
          <val>
            <numRef>
              <f>'12. 3472'!$AL$19:$AL$20</f>
            </numRef>
          </val>
        </ser>
        <ser>
          <idx val="4"/>
          <order val="4"/>
          <tx>
            <strRef>
              <f>'12. 3472'!AM18</f>
            </strRef>
          </tx>
          <spPr>
            <a:solidFill xmlns:a="http://schemas.openxmlformats.org/drawingml/2006/main">
              <a:srgbClr val="E67E22"/>
            </a:solidFill>
            <a:ln xmlns:a="http://schemas.openxmlformats.org/drawingml/2006/main">
              <a:solidFill>
                <a:srgbClr val="E67E22"/>
              </a:solidFill>
              <a:prstDash val="solid"/>
            </a:ln>
          </spPr>
          <cat>
            <numRef>
              <f>'12. 3472'!$AF$19:$AF$20</f>
            </numRef>
          </cat>
          <val>
            <numRef>
              <f>'12. 3472'!$AM$19:$AM$20</f>
            </numRef>
          </val>
        </ser>
        <ser>
          <idx val="5"/>
          <order val="5"/>
          <tx>
            <strRef>
              <f>'12. 3472'!AN18</f>
            </strRef>
          </tx>
          <spPr>
            <a:solidFill xmlns:a="http://schemas.openxmlformats.org/drawingml/2006/main">
              <a:srgbClr val="F5CBA7"/>
            </a:solidFill>
            <a:ln xmlns:a="http://schemas.openxmlformats.org/drawingml/2006/main">
              <a:solidFill>
                <a:srgbClr val="F5CBA7"/>
              </a:solidFill>
              <a:prstDash val="solid"/>
            </a:ln>
          </spPr>
          <cat>
            <numRef>
              <f>'12. 3472'!$AF$19:$AF$20</f>
            </numRef>
          </cat>
          <val>
            <numRef>
              <f>'12. 3472'!$AN$19:$AN$20</f>
            </numRef>
          </val>
        </ser>
        <ser>
          <idx val="6"/>
          <order val="6"/>
          <tx>
            <strRef>
              <f>'12. 3472'!AO18</f>
            </strRef>
          </tx>
          <spPr>
            <a:solidFill xmlns:a="http://schemas.openxmlformats.org/drawingml/2006/main">
              <a:srgbClr val="2E86C1"/>
            </a:solidFill>
            <a:ln xmlns:a="http://schemas.openxmlformats.org/drawingml/2006/main">
              <a:solidFill>
                <a:srgbClr val="2E86C1"/>
              </a:solidFill>
              <a:prstDash val="solid"/>
            </a:ln>
          </spPr>
          <cat>
            <numRef>
              <f>'12. 3472'!$AF$19:$AF$20</f>
            </numRef>
          </cat>
          <val>
            <numRef>
              <f>'12. 3472'!$AO$19:$AO$20</f>
            </numRef>
          </val>
        </ser>
        <ser>
          <idx val="7"/>
          <order val="7"/>
          <tx>
            <strRef>
              <f>'12. 3472'!AP18</f>
            </strRef>
          </tx>
          <spPr>
            <a:solidFill xmlns:a="http://schemas.openxmlformats.org/drawingml/2006/main">
              <a:srgbClr val="C0392B"/>
            </a:solidFill>
            <a:ln xmlns:a="http://schemas.openxmlformats.org/drawingml/2006/main">
              <a:solidFill>
                <a:srgbClr val="C0392B"/>
              </a:solidFill>
              <a:prstDash val="solid"/>
            </a:ln>
          </spPr>
          <cat>
            <numRef>
              <f>'12. 3472'!$AF$19:$AF$20</f>
            </numRef>
          </cat>
          <val>
            <numRef>
              <f>'12. 3472'!$AP$19:$AP$20</f>
            </numRef>
          </val>
        </ser>
        <ser>
          <idx val="8"/>
          <order val="8"/>
          <tx>
            <strRef>
              <f>'12. 3472'!AQ18</f>
            </strRef>
          </tx>
          <spPr>
            <a:solidFill xmlns:a="http://schemas.openxmlformats.org/drawingml/2006/main">
              <a:srgbClr val="922B21"/>
            </a:solidFill>
            <a:ln xmlns:a="http://schemas.openxmlformats.org/drawingml/2006/main">
              <a:solidFill>
                <a:srgbClr val="922B21"/>
              </a:solidFill>
              <a:prstDash val="solid"/>
            </a:ln>
          </spPr>
          <cat>
            <numRef>
              <f>'12. 3472'!$AF$19:$AF$20</f>
            </numRef>
          </cat>
          <val>
            <numRef>
              <f>'12. 3472'!$AQ$19:$AQ$20</f>
            </numRef>
          </val>
        </ser>
        <ser>
          <idx val="9"/>
          <order val="9"/>
          <tx>
            <strRef>
              <f>'12. 3472'!AR18</f>
            </strRef>
          </tx>
          <spPr>
            <a:solidFill xmlns:a="http://schemas.openxmlformats.org/drawingml/2006/main">
              <a:srgbClr val="6C3483"/>
            </a:solidFill>
            <a:ln xmlns:a="http://schemas.openxmlformats.org/drawingml/2006/main">
              <a:solidFill>
                <a:srgbClr val="6C3483"/>
              </a:solidFill>
              <a:prstDash val="solid"/>
            </a:ln>
          </spPr>
          <cat>
            <numRef>
              <f>'12. 3472'!$AF$19:$AF$20</f>
            </numRef>
          </cat>
          <val>
            <numRef>
              <f>'12. 3472'!$AR$19:$AR$20</f>
            </numRef>
          </val>
        </ser>
        <ser>
          <idx val="10"/>
          <order val="10"/>
          <tx>
            <strRef>
              <f>'12. 3472'!AS18</f>
            </strRef>
          </tx>
          <spPr>
            <a:solidFill xmlns:a="http://schemas.openxmlformats.org/drawingml/2006/main">
              <a:srgbClr val="808080"/>
            </a:solidFill>
            <a:ln xmlns:a="http://schemas.openxmlformats.org/drawingml/2006/main">
              <a:solidFill>
                <a:srgbClr val="808080"/>
              </a:solidFill>
              <a:prstDash val="solid"/>
            </a:ln>
          </spPr>
          <cat>
            <numRef>
              <f>'12. 3472'!$AF$19:$AF$20</f>
            </numRef>
          </cat>
          <val>
            <numRef>
              <f>'12. 3472'!$AS$19:$AS$20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Kelas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Bilangan Murid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% LULUS MENGIKUT KELAS — 2611 PENDIDIKAN SENI VISUAL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'13. 2611'!AG18</f>
            </strRef>
          </tx>
          <spPr>
            <a:solidFill xmlns:a="http://schemas.openxmlformats.org/drawingml/2006/main">
              <a:srgbClr val="2E6DA4"/>
            </a:solidFill>
            <a:ln xmlns:a="http://schemas.openxmlformats.org/drawingml/2006/main">
              <a:solidFill>
                <a:srgbClr val="1A3A5C"/>
              </a:solidFill>
              <a:prstDash val="solid"/>
            </a:ln>
          </spPr>
          <cat>
            <numRef>
              <f>'13. 2611'!$AF$19:$AF$20</f>
            </numRef>
          </cat>
          <val>
            <numRef>
              <f>'13. 2611'!$AG$19:$AG$20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Kelas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Lulus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GRED PURATA (GP) MENGIKUT KELAS — 2611 PENDIDIKAN SENI VISUAL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'13. 2611'!AH18</f>
            </strRef>
          </tx>
          <spPr>
            <a:solidFill xmlns:a="http://schemas.openxmlformats.org/drawingml/2006/main">
              <a:srgbClr val="C8942A"/>
            </a:solidFill>
            <a:ln xmlns:a="http://schemas.openxmlformats.org/drawingml/2006/main">
              <a:solidFill>
                <a:srgbClr val="8B6320"/>
              </a:solidFill>
              <a:prstDash val="solid"/>
            </a:ln>
          </spPr>
          <cat>
            <numRef>
              <f>'13. 2611'!$AF$19:$AF$20</f>
            </numRef>
          </cat>
          <val>
            <numRef>
              <f>'13. 2611'!$AH$19:$AH$20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Kelas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9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GP (rendah = lebih baik)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TABURAN GRED MENGIKUT KELAS — 2611 PENDIDIKAN SENI VISUAL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'13. 2611'!AI18</f>
            </strRef>
          </tx>
          <spPr>
            <a:solidFill xmlns:a="http://schemas.openxmlformats.org/drawingml/2006/main">
              <a:srgbClr val="1E7A4A"/>
            </a:solidFill>
            <a:ln xmlns:a="http://schemas.openxmlformats.org/drawingml/2006/main">
              <a:solidFill>
                <a:srgbClr val="1E7A4A"/>
              </a:solidFill>
              <a:prstDash val="solid"/>
            </a:ln>
          </spPr>
          <cat>
            <numRef>
              <f>'13. 2611'!$AF$19:$AF$20</f>
            </numRef>
          </cat>
          <val>
            <numRef>
              <f>'13. 2611'!$AI$19:$AI$20</f>
            </numRef>
          </val>
        </ser>
        <ser>
          <idx val="1"/>
          <order val="1"/>
          <tx>
            <strRef>
              <f>'13. 2611'!AJ18</f>
            </strRef>
          </tx>
          <spPr>
            <a:solidFill xmlns:a="http://schemas.openxmlformats.org/drawingml/2006/main">
              <a:srgbClr val="27AE60"/>
            </a:solidFill>
            <a:ln xmlns:a="http://schemas.openxmlformats.org/drawingml/2006/main">
              <a:solidFill>
                <a:srgbClr val="27AE60"/>
              </a:solidFill>
              <a:prstDash val="solid"/>
            </a:ln>
          </spPr>
          <cat>
            <numRef>
              <f>'13. 2611'!$AF$19:$AF$20</f>
            </numRef>
          </cat>
          <val>
            <numRef>
              <f>'13. 2611'!$AJ$19:$AJ$20</f>
            </numRef>
          </val>
        </ser>
        <ser>
          <idx val="2"/>
          <order val="2"/>
          <tx>
            <strRef>
              <f>'13. 2611'!AK18</f>
            </strRef>
          </tx>
          <spPr>
            <a:solidFill xmlns:a="http://schemas.openxmlformats.org/drawingml/2006/main">
              <a:srgbClr val="A9DFBF"/>
            </a:solidFill>
            <a:ln xmlns:a="http://schemas.openxmlformats.org/drawingml/2006/main">
              <a:solidFill>
                <a:srgbClr val="A9DFBF"/>
              </a:solidFill>
              <a:prstDash val="solid"/>
            </a:ln>
          </spPr>
          <cat>
            <numRef>
              <f>'13. 2611'!$AF$19:$AF$20</f>
            </numRef>
          </cat>
          <val>
            <numRef>
              <f>'13. 2611'!$AK$19:$AK$20</f>
            </numRef>
          </val>
        </ser>
        <ser>
          <idx val="3"/>
          <order val="3"/>
          <tx>
            <strRef>
              <f>'13. 2611'!AL18</f>
            </strRef>
          </tx>
          <spPr>
            <a:solidFill xmlns:a="http://schemas.openxmlformats.org/drawingml/2006/main">
              <a:srgbClr val="D4670A"/>
            </a:solidFill>
            <a:ln xmlns:a="http://schemas.openxmlformats.org/drawingml/2006/main">
              <a:solidFill>
                <a:srgbClr val="D4670A"/>
              </a:solidFill>
              <a:prstDash val="solid"/>
            </a:ln>
          </spPr>
          <cat>
            <numRef>
              <f>'13. 2611'!$AF$19:$AF$20</f>
            </numRef>
          </cat>
          <val>
            <numRef>
              <f>'13. 2611'!$AL$19:$AL$20</f>
            </numRef>
          </val>
        </ser>
        <ser>
          <idx val="4"/>
          <order val="4"/>
          <tx>
            <strRef>
              <f>'13. 2611'!AM18</f>
            </strRef>
          </tx>
          <spPr>
            <a:solidFill xmlns:a="http://schemas.openxmlformats.org/drawingml/2006/main">
              <a:srgbClr val="E67E22"/>
            </a:solidFill>
            <a:ln xmlns:a="http://schemas.openxmlformats.org/drawingml/2006/main">
              <a:solidFill>
                <a:srgbClr val="E67E22"/>
              </a:solidFill>
              <a:prstDash val="solid"/>
            </a:ln>
          </spPr>
          <cat>
            <numRef>
              <f>'13. 2611'!$AF$19:$AF$20</f>
            </numRef>
          </cat>
          <val>
            <numRef>
              <f>'13. 2611'!$AM$19:$AM$20</f>
            </numRef>
          </val>
        </ser>
        <ser>
          <idx val="5"/>
          <order val="5"/>
          <tx>
            <strRef>
              <f>'13. 2611'!AN18</f>
            </strRef>
          </tx>
          <spPr>
            <a:solidFill xmlns:a="http://schemas.openxmlformats.org/drawingml/2006/main">
              <a:srgbClr val="F5CBA7"/>
            </a:solidFill>
            <a:ln xmlns:a="http://schemas.openxmlformats.org/drawingml/2006/main">
              <a:solidFill>
                <a:srgbClr val="F5CBA7"/>
              </a:solidFill>
              <a:prstDash val="solid"/>
            </a:ln>
          </spPr>
          <cat>
            <numRef>
              <f>'13. 2611'!$AF$19:$AF$20</f>
            </numRef>
          </cat>
          <val>
            <numRef>
              <f>'13. 2611'!$AN$19:$AN$20</f>
            </numRef>
          </val>
        </ser>
        <ser>
          <idx val="6"/>
          <order val="6"/>
          <tx>
            <strRef>
              <f>'13. 2611'!AO18</f>
            </strRef>
          </tx>
          <spPr>
            <a:solidFill xmlns:a="http://schemas.openxmlformats.org/drawingml/2006/main">
              <a:srgbClr val="2E86C1"/>
            </a:solidFill>
            <a:ln xmlns:a="http://schemas.openxmlformats.org/drawingml/2006/main">
              <a:solidFill>
                <a:srgbClr val="2E86C1"/>
              </a:solidFill>
              <a:prstDash val="solid"/>
            </a:ln>
          </spPr>
          <cat>
            <numRef>
              <f>'13. 2611'!$AF$19:$AF$20</f>
            </numRef>
          </cat>
          <val>
            <numRef>
              <f>'13. 2611'!$AO$19:$AO$20</f>
            </numRef>
          </val>
        </ser>
        <ser>
          <idx val="7"/>
          <order val="7"/>
          <tx>
            <strRef>
              <f>'13. 2611'!AP18</f>
            </strRef>
          </tx>
          <spPr>
            <a:solidFill xmlns:a="http://schemas.openxmlformats.org/drawingml/2006/main">
              <a:srgbClr val="C0392B"/>
            </a:solidFill>
            <a:ln xmlns:a="http://schemas.openxmlformats.org/drawingml/2006/main">
              <a:solidFill>
                <a:srgbClr val="C0392B"/>
              </a:solidFill>
              <a:prstDash val="solid"/>
            </a:ln>
          </spPr>
          <cat>
            <numRef>
              <f>'13. 2611'!$AF$19:$AF$20</f>
            </numRef>
          </cat>
          <val>
            <numRef>
              <f>'13. 2611'!$AP$19:$AP$20</f>
            </numRef>
          </val>
        </ser>
        <ser>
          <idx val="8"/>
          <order val="8"/>
          <tx>
            <strRef>
              <f>'13. 2611'!AQ18</f>
            </strRef>
          </tx>
          <spPr>
            <a:solidFill xmlns:a="http://schemas.openxmlformats.org/drawingml/2006/main">
              <a:srgbClr val="922B21"/>
            </a:solidFill>
            <a:ln xmlns:a="http://schemas.openxmlformats.org/drawingml/2006/main">
              <a:solidFill>
                <a:srgbClr val="922B21"/>
              </a:solidFill>
              <a:prstDash val="solid"/>
            </a:ln>
          </spPr>
          <cat>
            <numRef>
              <f>'13. 2611'!$AF$19:$AF$20</f>
            </numRef>
          </cat>
          <val>
            <numRef>
              <f>'13. 2611'!$AQ$19:$AQ$20</f>
            </numRef>
          </val>
        </ser>
        <ser>
          <idx val="9"/>
          <order val="9"/>
          <tx>
            <strRef>
              <f>'13. 2611'!AR18</f>
            </strRef>
          </tx>
          <spPr>
            <a:solidFill xmlns:a="http://schemas.openxmlformats.org/drawingml/2006/main">
              <a:srgbClr val="6C3483"/>
            </a:solidFill>
            <a:ln xmlns:a="http://schemas.openxmlformats.org/drawingml/2006/main">
              <a:solidFill>
                <a:srgbClr val="6C3483"/>
              </a:solidFill>
              <a:prstDash val="solid"/>
            </a:ln>
          </spPr>
          <cat>
            <numRef>
              <f>'13. 2611'!$AF$19:$AF$20</f>
            </numRef>
          </cat>
          <val>
            <numRef>
              <f>'13. 2611'!$AR$19:$AR$20</f>
            </numRef>
          </val>
        </ser>
        <ser>
          <idx val="10"/>
          <order val="10"/>
          <tx>
            <strRef>
              <f>'13. 2611'!AS18</f>
            </strRef>
          </tx>
          <spPr>
            <a:solidFill xmlns:a="http://schemas.openxmlformats.org/drawingml/2006/main">
              <a:srgbClr val="808080"/>
            </a:solidFill>
            <a:ln xmlns:a="http://schemas.openxmlformats.org/drawingml/2006/main">
              <a:solidFill>
                <a:srgbClr val="808080"/>
              </a:solidFill>
              <a:prstDash val="solid"/>
            </a:ln>
          </spPr>
          <cat>
            <numRef>
              <f>'13. 2611'!$AF$19:$AF$20</f>
            </numRef>
          </cat>
          <val>
            <numRef>
              <f>'13. 2611'!$AS$19:$AS$20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Kelas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Bilangan Murid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% LULUS MENGIKUT KELAS — 3766 PERNIAGAAN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'14. 3766'!AG18</f>
            </strRef>
          </tx>
          <spPr>
            <a:solidFill xmlns:a="http://schemas.openxmlformats.org/drawingml/2006/main">
              <a:srgbClr val="2E6DA4"/>
            </a:solidFill>
            <a:ln xmlns:a="http://schemas.openxmlformats.org/drawingml/2006/main">
              <a:solidFill>
                <a:srgbClr val="1A3A5C"/>
              </a:solidFill>
              <a:prstDash val="solid"/>
            </a:ln>
          </spPr>
          <cat>
            <numRef>
              <f>'14. 3766'!$AF$19:$AF$20</f>
            </numRef>
          </cat>
          <val>
            <numRef>
              <f>'14. 3766'!$AG$19:$AG$20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Kelas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Lulus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GRED PURATA (GP) MENGIKUT KELAS — 3766 PERNIAGAAN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'14. 3766'!AH18</f>
            </strRef>
          </tx>
          <spPr>
            <a:solidFill xmlns:a="http://schemas.openxmlformats.org/drawingml/2006/main">
              <a:srgbClr val="C8942A"/>
            </a:solidFill>
            <a:ln xmlns:a="http://schemas.openxmlformats.org/drawingml/2006/main">
              <a:solidFill>
                <a:srgbClr val="8B6320"/>
              </a:solidFill>
              <a:prstDash val="solid"/>
            </a:ln>
          </spPr>
          <cat>
            <numRef>
              <f>'14. 3766'!$AF$19:$AF$20</f>
            </numRef>
          </cat>
          <val>
            <numRef>
              <f>'14. 3766'!$AH$19:$AH$20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Kelas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9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GP (rendah = lebih baik)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TABURAN GRED MENGIKUT KELAS — 3766 PERNIAGAAN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'14. 3766'!AI18</f>
            </strRef>
          </tx>
          <spPr>
            <a:solidFill xmlns:a="http://schemas.openxmlformats.org/drawingml/2006/main">
              <a:srgbClr val="1E7A4A"/>
            </a:solidFill>
            <a:ln xmlns:a="http://schemas.openxmlformats.org/drawingml/2006/main">
              <a:solidFill>
                <a:srgbClr val="1E7A4A"/>
              </a:solidFill>
              <a:prstDash val="solid"/>
            </a:ln>
          </spPr>
          <cat>
            <numRef>
              <f>'14. 3766'!$AF$19:$AF$20</f>
            </numRef>
          </cat>
          <val>
            <numRef>
              <f>'14. 3766'!$AI$19:$AI$20</f>
            </numRef>
          </val>
        </ser>
        <ser>
          <idx val="1"/>
          <order val="1"/>
          <tx>
            <strRef>
              <f>'14. 3766'!AJ18</f>
            </strRef>
          </tx>
          <spPr>
            <a:solidFill xmlns:a="http://schemas.openxmlformats.org/drawingml/2006/main">
              <a:srgbClr val="27AE60"/>
            </a:solidFill>
            <a:ln xmlns:a="http://schemas.openxmlformats.org/drawingml/2006/main">
              <a:solidFill>
                <a:srgbClr val="27AE60"/>
              </a:solidFill>
              <a:prstDash val="solid"/>
            </a:ln>
          </spPr>
          <cat>
            <numRef>
              <f>'14. 3766'!$AF$19:$AF$20</f>
            </numRef>
          </cat>
          <val>
            <numRef>
              <f>'14. 3766'!$AJ$19:$AJ$20</f>
            </numRef>
          </val>
        </ser>
        <ser>
          <idx val="2"/>
          <order val="2"/>
          <tx>
            <strRef>
              <f>'14. 3766'!AK18</f>
            </strRef>
          </tx>
          <spPr>
            <a:solidFill xmlns:a="http://schemas.openxmlformats.org/drawingml/2006/main">
              <a:srgbClr val="A9DFBF"/>
            </a:solidFill>
            <a:ln xmlns:a="http://schemas.openxmlformats.org/drawingml/2006/main">
              <a:solidFill>
                <a:srgbClr val="A9DFBF"/>
              </a:solidFill>
              <a:prstDash val="solid"/>
            </a:ln>
          </spPr>
          <cat>
            <numRef>
              <f>'14. 3766'!$AF$19:$AF$20</f>
            </numRef>
          </cat>
          <val>
            <numRef>
              <f>'14. 3766'!$AK$19:$AK$20</f>
            </numRef>
          </val>
        </ser>
        <ser>
          <idx val="3"/>
          <order val="3"/>
          <tx>
            <strRef>
              <f>'14. 3766'!AL18</f>
            </strRef>
          </tx>
          <spPr>
            <a:solidFill xmlns:a="http://schemas.openxmlformats.org/drawingml/2006/main">
              <a:srgbClr val="D4670A"/>
            </a:solidFill>
            <a:ln xmlns:a="http://schemas.openxmlformats.org/drawingml/2006/main">
              <a:solidFill>
                <a:srgbClr val="D4670A"/>
              </a:solidFill>
              <a:prstDash val="solid"/>
            </a:ln>
          </spPr>
          <cat>
            <numRef>
              <f>'14. 3766'!$AF$19:$AF$20</f>
            </numRef>
          </cat>
          <val>
            <numRef>
              <f>'14. 3766'!$AL$19:$AL$20</f>
            </numRef>
          </val>
        </ser>
        <ser>
          <idx val="4"/>
          <order val="4"/>
          <tx>
            <strRef>
              <f>'14. 3766'!AM18</f>
            </strRef>
          </tx>
          <spPr>
            <a:solidFill xmlns:a="http://schemas.openxmlformats.org/drawingml/2006/main">
              <a:srgbClr val="E67E22"/>
            </a:solidFill>
            <a:ln xmlns:a="http://schemas.openxmlformats.org/drawingml/2006/main">
              <a:solidFill>
                <a:srgbClr val="E67E22"/>
              </a:solidFill>
              <a:prstDash val="solid"/>
            </a:ln>
          </spPr>
          <cat>
            <numRef>
              <f>'14. 3766'!$AF$19:$AF$20</f>
            </numRef>
          </cat>
          <val>
            <numRef>
              <f>'14. 3766'!$AM$19:$AM$20</f>
            </numRef>
          </val>
        </ser>
        <ser>
          <idx val="5"/>
          <order val="5"/>
          <tx>
            <strRef>
              <f>'14. 3766'!AN18</f>
            </strRef>
          </tx>
          <spPr>
            <a:solidFill xmlns:a="http://schemas.openxmlformats.org/drawingml/2006/main">
              <a:srgbClr val="F5CBA7"/>
            </a:solidFill>
            <a:ln xmlns:a="http://schemas.openxmlformats.org/drawingml/2006/main">
              <a:solidFill>
                <a:srgbClr val="F5CBA7"/>
              </a:solidFill>
              <a:prstDash val="solid"/>
            </a:ln>
          </spPr>
          <cat>
            <numRef>
              <f>'14. 3766'!$AF$19:$AF$20</f>
            </numRef>
          </cat>
          <val>
            <numRef>
              <f>'14. 3766'!$AN$19:$AN$20</f>
            </numRef>
          </val>
        </ser>
        <ser>
          <idx val="6"/>
          <order val="6"/>
          <tx>
            <strRef>
              <f>'14. 3766'!AO18</f>
            </strRef>
          </tx>
          <spPr>
            <a:solidFill xmlns:a="http://schemas.openxmlformats.org/drawingml/2006/main">
              <a:srgbClr val="2E86C1"/>
            </a:solidFill>
            <a:ln xmlns:a="http://schemas.openxmlformats.org/drawingml/2006/main">
              <a:solidFill>
                <a:srgbClr val="2E86C1"/>
              </a:solidFill>
              <a:prstDash val="solid"/>
            </a:ln>
          </spPr>
          <cat>
            <numRef>
              <f>'14. 3766'!$AF$19:$AF$20</f>
            </numRef>
          </cat>
          <val>
            <numRef>
              <f>'14. 3766'!$AO$19:$AO$20</f>
            </numRef>
          </val>
        </ser>
        <ser>
          <idx val="7"/>
          <order val="7"/>
          <tx>
            <strRef>
              <f>'14. 3766'!AP18</f>
            </strRef>
          </tx>
          <spPr>
            <a:solidFill xmlns:a="http://schemas.openxmlformats.org/drawingml/2006/main">
              <a:srgbClr val="C0392B"/>
            </a:solidFill>
            <a:ln xmlns:a="http://schemas.openxmlformats.org/drawingml/2006/main">
              <a:solidFill>
                <a:srgbClr val="C0392B"/>
              </a:solidFill>
              <a:prstDash val="solid"/>
            </a:ln>
          </spPr>
          <cat>
            <numRef>
              <f>'14. 3766'!$AF$19:$AF$20</f>
            </numRef>
          </cat>
          <val>
            <numRef>
              <f>'14. 3766'!$AP$19:$AP$20</f>
            </numRef>
          </val>
        </ser>
        <ser>
          <idx val="8"/>
          <order val="8"/>
          <tx>
            <strRef>
              <f>'14. 3766'!AQ18</f>
            </strRef>
          </tx>
          <spPr>
            <a:solidFill xmlns:a="http://schemas.openxmlformats.org/drawingml/2006/main">
              <a:srgbClr val="922B21"/>
            </a:solidFill>
            <a:ln xmlns:a="http://schemas.openxmlformats.org/drawingml/2006/main">
              <a:solidFill>
                <a:srgbClr val="922B21"/>
              </a:solidFill>
              <a:prstDash val="solid"/>
            </a:ln>
          </spPr>
          <cat>
            <numRef>
              <f>'14. 3766'!$AF$19:$AF$20</f>
            </numRef>
          </cat>
          <val>
            <numRef>
              <f>'14. 3766'!$AQ$19:$AQ$20</f>
            </numRef>
          </val>
        </ser>
        <ser>
          <idx val="9"/>
          <order val="9"/>
          <tx>
            <strRef>
              <f>'14. 3766'!AR18</f>
            </strRef>
          </tx>
          <spPr>
            <a:solidFill xmlns:a="http://schemas.openxmlformats.org/drawingml/2006/main">
              <a:srgbClr val="6C3483"/>
            </a:solidFill>
            <a:ln xmlns:a="http://schemas.openxmlformats.org/drawingml/2006/main">
              <a:solidFill>
                <a:srgbClr val="6C3483"/>
              </a:solidFill>
              <a:prstDash val="solid"/>
            </a:ln>
          </spPr>
          <cat>
            <numRef>
              <f>'14. 3766'!$AF$19:$AF$20</f>
            </numRef>
          </cat>
          <val>
            <numRef>
              <f>'14. 3766'!$AR$19:$AR$20</f>
            </numRef>
          </val>
        </ser>
        <ser>
          <idx val="10"/>
          <order val="10"/>
          <tx>
            <strRef>
              <f>'14. 3766'!AS18</f>
            </strRef>
          </tx>
          <spPr>
            <a:solidFill xmlns:a="http://schemas.openxmlformats.org/drawingml/2006/main">
              <a:srgbClr val="808080"/>
            </a:solidFill>
            <a:ln xmlns:a="http://schemas.openxmlformats.org/drawingml/2006/main">
              <a:solidFill>
                <a:srgbClr val="808080"/>
              </a:solidFill>
              <a:prstDash val="solid"/>
            </a:ln>
          </spPr>
          <cat>
            <numRef>
              <f>'14. 3766'!$AF$19:$AF$20</f>
            </numRef>
          </cat>
          <val>
            <numRef>
              <f>'14. 3766'!$AS$19:$AS$20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Kelas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Bilangan Murid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% LULUS MENGIKUT KELAS — 3756 PRINSIP PERAKAUNAN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'15. 3756'!AG17</f>
            </strRef>
          </tx>
          <spPr>
            <a:solidFill xmlns:a="http://schemas.openxmlformats.org/drawingml/2006/main">
              <a:srgbClr val="2E6DA4"/>
            </a:solidFill>
            <a:ln xmlns:a="http://schemas.openxmlformats.org/drawingml/2006/main">
              <a:solidFill>
                <a:srgbClr val="1A3A5C"/>
              </a:solidFill>
              <a:prstDash val="solid"/>
            </a:ln>
          </spPr>
          <cat>
            <numRef>
              <f>'15. 3756'!$AF$18</f>
            </numRef>
          </cat>
          <val>
            <numRef>
              <f>'15. 3756'!$AG$18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Kelas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Lulus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GRED PURATA (GP) MENGIKUT KELAS — 3756 PRINSIP PERAKAUNAN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'15. 3756'!AH17</f>
            </strRef>
          </tx>
          <spPr>
            <a:solidFill xmlns:a="http://schemas.openxmlformats.org/drawingml/2006/main">
              <a:srgbClr val="C8942A"/>
            </a:solidFill>
            <a:ln xmlns:a="http://schemas.openxmlformats.org/drawingml/2006/main">
              <a:solidFill>
                <a:srgbClr val="8B6320"/>
              </a:solidFill>
              <a:prstDash val="solid"/>
            </a:ln>
          </spPr>
          <cat>
            <numRef>
              <f>'15. 3756'!$AF$18</f>
            </numRef>
          </cat>
          <val>
            <numRef>
              <f>'15. 3756'!$AH$18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Kelas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9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GP (rendah = lebih baik)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% LULUS MENGIKUT KELAS — 3769 SAINS RUMAH TANGGA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'16. 3769'!AG17</f>
            </strRef>
          </tx>
          <spPr>
            <a:solidFill xmlns:a="http://schemas.openxmlformats.org/drawingml/2006/main">
              <a:srgbClr val="2E6DA4"/>
            </a:solidFill>
            <a:ln xmlns:a="http://schemas.openxmlformats.org/drawingml/2006/main">
              <a:solidFill>
                <a:srgbClr val="1A3A5C"/>
              </a:solidFill>
              <a:prstDash val="solid"/>
            </a:ln>
          </spPr>
          <cat>
            <numRef>
              <f>'16. 3769'!$AF$18</f>
            </numRef>
          </cat>
          <val>
            <numRef>
              <f>'16. 3769'!$AG$18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Kelas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Lulus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GRED PURATA (GP) MENGIKUT KELAS — 3769 SAINS RUMAH TANGGA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'16. 3769'!AH17</f>
            </strRef>
          </tx>
          <spPr>
            <a:solidFill xmlns:a="http://schemas.openxmlformats.org/drawingml/2006/main">
              <a:srgbClr val="C8942A"/>
            </a:solidFill>
            <a:ln xmlns:a="http://schemas.openxmlformats.org/drawingml/2006/main">
              <a:solidFill>
                <a:srgbClr val="8B6320"/>
              </a:solidFill>
              <a:prstDash val="solid"/>
            </a:ln>
          </spPr>
          <cat>
            <numRef>
              <f>'16. 3769'!$AF$18</f>
            </numRef>
          </cat>
          <val>
            <numRef>
              <f>'16. 3769'!$AH$18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Kelas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9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GP (rendah = lebih baik)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% LULUS MENGIKUT KELAS — 4572 SAINS SUKAN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'17. 4572'!AG17</f>
            </strRef>
          </tx>
          <spPr>
            <a:solidFill xmlns:a="http://schemas.openxmlformats.org/drawingml/2006/main">
              <a:srgbClr val="2E6DA4"/>
            </a:solidFill>
            <a:ln xmlns:a="http://schemas.openxmlformats.org/drawingml/2006/main">
              <a:solidFill>
                <a:srgbClr val="1A3A5C"/>
              </a:solidFill>
              <a:prstDash val="solid"/>
            </a:ln>
          </spPr>
          <cat>
            <numRef>
              <f>'17. 4572'!$AF$18</f>
            </numRef>
          </cat>
          <val>
            <numRef>
              <f>'17. 4572'!$AG$18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Kelas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Lulus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GRED PURATA (GP) MENGIKUT KELAS — 4572 SAINS SUKAN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'17. 4572'!AH17</f>
            </strRef>
          </tx>
          <spPr>
            <a:solidFill xmlns:a="http://schemas.openxmlformats.org/drawingml/2006/main">
              <a:srgbClr val="C8942A"/>
            </a:solidFill>
            <a:ln xmlns:a="http://schemas.openxmlformats.org/drawingml/2006/main">
              <a:solidFill>
                <a:srgbClr val="8B6320"/>
              </a:solidFill>
              <a:prstDash val="solid"/>
            </a:ln>
          </spPr>
          <cat>
            <numRef>
              <f>'17. 4572'!$AF$18</f>
            </numRef>
          </cat>
          <val>
            <numRef>
              <f>'17. 4572'!$AH$18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Kelas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9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GP (rendah = lebih baik)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% LULUS MENGIKUT KELAS — 5226 TASAWWUR ISLAM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'18. 5226'!AG17</f>
            </strRef>
          </tx>
          <spPr>
            <a:solidFill xmlns:a="http://schemas.openxmlformats.org/drawingml/2006/main">
              <a:srgbClr val="2E6DA4"/>
            </a:solidFill>
            <a:ln xmlns:a="http://schemas.openxmlformats.org/drawingml/2006/main">
              <a:solidFill>
                <a:srgbClr val="1A3A5C"/>
              </a:solidFill>
              <a:prstDash val="solid"/>
            </a:ln>
          </spPr>
          <cat>
            <numRef>
              <f>'18. 5226'!$AF$18</f>
            </numRef>
          </cat>
          <val>
            <numRef>
              <f>'18. 5226'!$AG$18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Kelas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Lulus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GRED PURATA (GP) MENGIKUT KELAS — 5226 TASAWWUR ISLAM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'18. 5226'!AH17</f>
            </strRef>
          </tx>
          <spPr>
            <a:solidFill xmlns:a="http://schemas.openxmlformats.org/drawingml/2006/main">
              <a:srgbClr val="C8942A"/>
            </a:solidFill>
            <a:ln xmlns:a="http://schemas.openxmlformats.org/drawingml/2006/main">
              <a:solidFill>
                <a:srgbClr val="8B6320"/>
              </a:solidFill>
              <a:prstDash val="solid"/>
            </a:ln>
          </spPr>
          <cat>
            <numRef>
              <f>'18. 5226'!$AF$18</f>
            </numRef>
          </cat>
          <val>
            <numRef>
              <f>'18. 5226'!$AH$18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Kelas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9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GP (rendah = lebih baik)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Relationship Type="http://schemas.openxmlformats.org/officeDocument/2006/relationships/chart" Target="/xl/charts/chart8.xml" Id="rId3"/></Relationships>
</file>

<file path=xl/drawings/_rels/drawing4.xml.rels><Relationships xmlns="http://schemas.openxmlformats.org/package/2006/relationships"><Relationship Type="http://schemas.openxmlformats.org/officeDocument/2006/relationships/chart" Target="/xl/charts/chart9.xml" Id="rId1"/><Relationship Type="http://schemas.openxmlformats.org/officeDocument/2006/relationships/chart" Target="/xl/charts/chart10.xml" Id="rId2"/><Relationship Type="http://schemas.openxmlformats.org/officeDocument/2006/relationships/chart" Target="/xl/charts/chart11.xml" Id="rId3"/></Relationships>
</file>

<file path=xl/drawings/_rels/drawing5.xml.rels><Relationships xmlns="http://schemas.openxmlformats.org/package/2006/relationships"><Relationship Type="http://schemas.openxmlformats.org/officeDocument/2006/relationships/chart" Target="/xl/charts/chart12.xml" Id="rId1"/><Relationship Type="http://schemas.openxmlformats.org/officeDocument/2006/relationships/chart" Target="/xl/charts/chart13.xml" Id="rId2"/><Relationship Type="http://schemas.openxmlformats.org/officeDocument/2006/relationships/chart" Target="/xl/charts/chart14.xml" Id="rId3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5.xml" Id="rId1"/><Relationship Type="http://schemas.openxmlformats.org/officeDocument/2006/relationships/chart" Target="/xl/charts/chart16.xml" Id="rId2"/><Relationship Type="http://schemas.openxmlformats.org/officeDocument/2006/relationships/chart" Target="/xl/charts/chart17.xml" Id="rId3"/></Relationships>
</file>

<file path=xl/drawings/_rels/drawing7.xml.rels><Relationships xmlns="http://schemas.openxmlformats.org/package/2006/relationships"><Relationship Type="http://schemas.openxmlformats.org/officeDocument/2006/relationships/chart" Target="/xl/charts/chart18.xml" Id="rId1"/><Relationship Type="http://schemas.openxmlformats.org/officeDocument/2006/relationships/chart" Target="/xl/charts/chart19.xml" Id="rId2"/><Relationship Type="http://schemas.openxmlformats.org/officeDocument/2006/relationships/chart" Target="/xl/charts/chart20.xml" Id="rId3"/></Relationships>
</file>

<file path=xl/drawings/_rels/drawing8.xml.rels><Relationships xmlns="http://schemas.openxmlformats.org/package/2006/relationships"><Relationship Type="http://schemas.openxmlformats.org/officeDocument/2006/relationships/chart" Target="/xl/charts/chart21.xml" Id="rId1"/><Relationship Type="http://schemas.openxmlformats.org/officeDocument/2006/relationships/chart" Target="/xl/charts/chart22.xml" Id="rId2"/><Relationship Type="http://schemas.openxmlformats.org/officeDocument/2006/relationships/chart" Target="/xl/charts/chart23.xml" Id="rId3"/></Relationships>
</file>

<file path=xl/drawings/_rels/drawing9.xml.rels><Relationships xmlns="http://schemas.openxmlformats.org/package/2006/relationships"><Relationship Type="http://schemas.openxmlformats.org/officeDocument/2006/relationships/chart" Target="/xl/charts/chart24.xml" Id="rId1"/><Relationship Type="http://schemas.openxmlformats.org/officeDocument/2006/relationships/chart" Target="/xl/charts/chart25.xml" Id="rId2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26.xml" Id="rId1"/><Relationship Type="http://schemas.openxmlformats.org/officeDocument/2006/relationships/chart" Target="/xl/charts/chart27.xml" Id="rId2"/><Relationship Type="http://schemas.openxmlformats.org/officeDocument/2006/relationships/chart" Target="/xl/charts/chart28.xml" Id="rId3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29.xml" Id="rId1"/><Relationship Type="http://schemas.openxmlformats.org/officeDocument/2006/relationships/chart" Target="/xl/charts/chart30.xml" Id="rId2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31.xml" Id="rId1"/><Relationship Type="http://schemas.openxmlformats.org/officeDocument/2006/relationships/chart" Target="/xl/charts/chart32.xml" Id="rId2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33.xml" Id="rId1"/><Relationship Type="http://schemas.openxmlformats.org/officeDocument/2006/relationships/chart" Target="/xl/charts/chart34.xml" Id="rId2"/><Relationship Type="http://schemas.openxmlformats.org/officeDocument/2006/relationships/chart" Target="/xl/charts/chart35.xml" Id="rId3"/></Relationships>
</file>

<file path=xl/drawings/_rels/drawing14.xml.rels><Relationships xmlns="http://schemas.openxmlformats.org/package/2006/relationships"><Relationship Type="http://schemas.openxmlformats.org/officeDocument/2006/relationships/chart" Target="/xl/charts/chart36.xml" Id="rId1"/><Relationship Type="http://schemas.openxmlformats.org/officeDocument/2006/relationships/chart" Target="/xl/charts/chart37.xml" Id="rId2"/><Relationship Type="http://schemas.openxmlformats.org/officeDocument/2006/relationships/chart" Target="/xl/charts/chart38.xml" Id="rId3"/></Relationships>
</file>

<file path=xl/drawings/_rels/drawing15.xml.rels><Relationships xmlns="http://schemas.openxmlformats.org/package/2006/relationships"><Relationship Type="http://schemas.openxmlformats.org/officeDocument/2006/relationships/chart" Target="/xl/charts/chart39.xml" Id="rId1"/><Relationship Type="http://schemas.openxmlformats.org/officeDocument/2006/relationships/chart" Target="/xl/charts/chart40.xml" Id="rId2"/><Relationship Type="http://schemas.openxmlformats.org/officeDocument/2006/relationships/chart" Target="/xl/charts/chart41.xml" Id="rId3"/></Relationships>
</file>

<file path=xl/drawings/_rels/drawing16.xml.rels><Relationships xmlns="http://schemas.openxmlformats.org/package/2006/relationships"><Relationship Type="http://schemas.openxmlformats.org/officeDocument/2006/relationships/chart" Target="/xl/charts/chart42.xml" Id="rId1"/><Relationship Type="http://schemas.openxmlformats.org/officeDocument/2006/relationships/chart" Target="/xl/charts/chart43.xml" Id="rId2"/></Relationships>
</file>

<file path=xl/drawings/_rels/drawing17.xml.rels><Relationships xmlns="http://schemas.openxmlformats.org/package/2006/relationships"><Relationship Type="http://schemas.openxmlformats.org/officeDocument/2006/relationships/chart" Target="/xl/charts/chart44.xml" Id="rId1"/><Relationship Type="http://schemas.openxmlformats.org/officeDocument/2006/relationships/chart" Target="/xl/charts/chart45.xml" Id="rId2"/></Relationships>
</file>

<file path=xl/drawings/_rels/drawing18.xml.rels><Relationships xmlns="http://schemas.openxmlformats.org/package/2006/relationships"><Relationship Type="http://schemas.openxmlformats.org/officeDocument/2006/relationships/chart" Target="/xl/charts/chart46.xml" Id="rId1"/><Relationship Type="http://schemas.openxmlformats.org/officeDocument/2006/relationships/chart" Target="/xl/charts/chart47.xml" Id="rId2"/></Relationships>
</file>

<file path=xl/drawings/_rels/drawing19.xml.rels><Relationships xmlns="http://schemas.openxmlformats.org/package/2006/relationships"><Relationship Type="http://schemas.openxmlformats.org/officeDocument/2006/relationships/chart" Target="/xl/charts/chart48.xml" Id="rId1"/><Relationship Type="http://schemas.openxmlformats.org/officeDocument/2006/relationships/chart" Target="/xl/charts/chart49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47</row>
      <rowOff>0</rowOff>
    </from>
    <ext cx="1008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69</row>
      <rowOff>0</rowOff>
    </from>
    <ext cx="1008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20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20</row>
      <rowOff>0</rowOff>
    </from>
    <ext cx="576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42</row>
      <rowOff>0</rowOff>
    </from>
    <ext cx="10080000" cy="50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20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20</row>
      <rowOff>0</rowOff>
    </from>
    <ext cx="576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42</row>
      <rowOff>0</rowOff>
    </from>
    <ext cx="10080000" cy="50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20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20</row>
      <rowOff>0</rowOff>
    </from>
    <ext cx="576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42</row>
      <rowOff>0</rowOff>
    </from>
    <ext cx="10080000" cy="50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19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19</row>
      <rowOff>0</rowOff>
    </from>
    <ext cx="576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41</row>
      <rowOff>0</rowOff>
    </from>
    <ext cx="10080000" cy="50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20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20</row>
      <rowOff>0</rowOff>
    </from>
    <ext cx="576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42</row>
      <rowOff>0</rowOff>
    </from>
    <ext cx="10080000" cy="50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20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20</row>
      <rowOff>0</rowOff>
    </from>
    <ext cx="576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42</row>
      <rowOff>0</rowOff>
    </from>
    <ext cx="10080000" cy="50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19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19</row>
      <rowOff>0</rowOff>
    </from>
    <ext cx="576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41</row>
      <rowOff>0</rowOff>
    </from>
    <ext cx="10080000" cy="50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16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16</row>
      <rowOff>0</rowOff>
    </from>
    <ext cx="576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17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17</row>
      <rowOff>0</rowOff>
    </from>
    <ext cx="576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39</row>
      <rowOff>0</rowOff>
    </from>
    <ext cx="10080000" cy="50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16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16</row>
      <rowOff>0</rowOff>
    </from>
    <ext cx="576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16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16</row>
      <rowOff>0</rowOff>
    </from>
    <ext cx="576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17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17</row>
      <rowOff>0</rowOff>
    </from>
    <ext cx="576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39</row>
      <rowOff>0</rowOff>
    </from>
    <ext cx="10080000" cy="50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14.xml><?xml version="1.0" encoding="utf-8"?>
<wsDr xmlns="http://schemas.openxmlformats.org/drawingml/2006/spreadsheetDrawing">
  <oneCellAnchor>
    <from>
      <col>0</col>
      <colOff>0</colOff>
      <row>17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17</row>
      <rowOff>0</rowOff>
    </from>
    <ext cx="576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39</row>
      <rowOff>0</rowOff>
    </from>
    <ext cx="10080000" cy="50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15.xml><?xml version="1.0" encoding="utf-8"?>
<wsDr xmlns="http://schemas.openxmlformats.org/drawingml/2006/spreadsheetDrawing">
  <oneCellAnchor>
    <from>
      <col>0</col>
      <colOff>0</colOff>
      <row>17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17</row>
      <rowOff>0</rowOff>
    </from>
    <ext cx="576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39</row>
      <rowOff>0</rowOff>
    </from>
    <ext cx="10080000" cy="50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16.xml><?xml version="1.0" encoding="utf-8"?>
<wsDr xmlns="http://schemas.openxmlformats.org/drawingml/2006/spreadsheetDrawing">
  <oneCellAnchor>
    <from>
      <col>0</col>
      <colOff>0</colOff>
      <row>16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16</row>
      <rowOff>0</rowOff>
    </from>
    <ext cx="576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7.xml><?xml version="1.0" encoding="utf-8"?>
<wsDr xmlns="http://schemas.openxmlformats.org/drawingml/2006/spreadsheetDrawing">
  <oneCellAnchor>
    <from>
      <col>0</col>
      <colOff>0</colOff>
      <row>16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16</row>
      <rowOff>0</rowOff>
    </from>
    <ext cx="576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8.xml><?xml version="1.0" encoding="utf-8"?>
<wsDr xmlns="http://schemas.openxmlformats.org/drawingml/2006/spreadsheetDrawing">
  <oneCellAnchor>
    <from>
      <col>0</col>
      <colOff>0</colOff>
      <row>16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16</row>
      <rowOff>0</rowOff>
    </from>
    <ext cx="576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9.xml><?xml version="1.0" encoding="utf-8"?>
<wsDr xmlns="http://schemas.openxmlformats.org/drawingml/2006/spreadsheetDrawing">
  <oneCellAnchor>
    <from>
      <col>0</col>
      <colOff>0</colOff>
      <row>16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16</row>
      <rowOff>0</rowOff>
    </from>
    <ext cx="576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" customWidth="1" min="2" max="2"/>
    <col width="30" customWidth="1" min="3" max="3"/>
    <col width="10" customWidth="1" min="4" max="4"/>
    <col width="13" customWidth="1" min="5" max="5"/>
    <col width="10" customWidth="1" min="6" max="6"/>
    <col width="16" customWidth="1" min="7" max="7"/>
  </cols>
  <sheetData>
    <row r="1" ht="32" customHeight="1">
      <c r="A1" s="1" t="inlineStr">
        <is>
          <t>SEKOLAH MENENGAH KEBANGSAAN KELANA JAYA</t>
        </is>
      </c>
    </row>
    <row r="2" ht="22" customHeight="1">
      <c r="A2" s="2" t="inlineStr">
        <is>
          <t>ANALISIS PEPERIKSAAN PERTENGAHAN TAHUN 2026 — TINGKATAN 5</t>
        </is>
      </c>
    </row>
    <row r="4" ht="20" customHeight="1">
      <c r="A4" s="3" t="inlineStr">
        <is>
          <t>BIL</t>
        </is>
      </c>
      <c r="B4" s="4" t="n"/>
      <c r="C4" s="3" t="inlineStr">
        <is>
          <t>MATA PELAJARAN</t>
        </is>
      </c>
      <c r="D4" s="5" t="inlineStr">
        <is>
          <t>BIL DAFTAR</t>
        </is>
      </c>
      <c r="E4" s="5" t="inlineStr">
        <is>
          <t>% LULUS</t>
        </is>
      </c>
      <c r="F4" s="5" t="inlineStr">
        <is>
          <t>GRED PURATA</t>
        </is>
      </c>
      <c r="G4" s="5" t="inlineStr">
        <is>
          <t>STATUS</t>
        </is>
      </c>
    </row>
    <row r="5" ht="18" customHeight="1">
      <c r="A5" s="6" t="n">
        <v>1</v>
      </c>
      <c r="C5" s="7" t="inlineStr">
        <is>
          <t>1103 BAHASA MELAYU</t>
        </is>
      </c>
      <c r="D5" s="8" t="n">
        <v>98</v>
      </c>
      <c r="E5" s="9" t="inlineStr">
        <is>
          <t>81.72%</t>
        </is>
      </c>
      <c r="F5" s="10" t="inlineStr">
        <is>
          <t>3.90</t>
        </is>
      </c>
      <c r="G5" s="10" t="inlineStr">
        <is>
          <t>⚠️ SEDERHANA</t>
        </is>
      </c>
    </row>
    <row r="6" ht="18" customHeight="1">
      <c r="A6" s="11" t="n">
        <v>2</v>
      </c>
      <c r="C6" s="12" t="inlineStr">
        <is>
          <t>1119 BAHASA INGGERIS</t>
        </is>
      </c>
      <c r="D6" s="13" t="n">
        <v>98</v>
      </c>
      <c r="E6" s="14" t="inlineStr">
        <is>
          <t>83.87%</t>
        </is>
      </c>
      <c r="F6" s="15" t="inlineStr">
        <is>
          <t>3.51</t>
        </is>
      </c>
      <c r="G6" s="15" t="inlineStr">
        <is>
          <t>⚠️ SEDERHANA</t>
        </is>
      </c>
    </row>
    <row r="7" ht="18" customHeight="1">
      <c r="A7" s="6" t="n">
        <v>3</v>
      </c>
      <c r="C7" s="7" t="inlineStr">
        <is>
          <t>1449 MATEMATIK</t>
        </is>
      </c>
      <c r="D7" s="8" t="n">
        <v>98</v>
      </c>
      <c r="E7" s="16" t="inlineStr">
        <is>
          <t>1.11%</t>
        </is>
      </c>
      <c r="F7" s="16" t="inlineStr">
        <is>
          <t>8.47</t>
        </is>
      </c>
      <c r="G7" s="16" t="inlineStr">
        <is>
          <t>🚨 KRITIKAL</t>
        </is>
      </c>
    </row>
    <row r="8" ht="18" customHeight="1">
      <c r="A8" s="11" t="n">
        <v>4</v>
      </c>
      <c r="C8" s="12" t="inlineStr">
        <is>
          <t>1511 SAINS</t>
        </is>
      </c>
      <c r="D8" s="13" t="n">
        <v>87</v>
      </c>
      <c r="E8" s="17" t="inlineStr">
        <is>
          <t>35.80%</t>
        </is>
      </c>
      <c r="F8" s="17" t="inlineStr">
        <is>
          <t>7.37</t>
        </is>
      </c>
      <c r="G8" s="17" t="inlineStr">
        <is>
          <t>🚨 KRITIKAL</t>
        </is>
      </c>
    </row>
    <row r="9" ht="18" customHeight="1">
      <c r="A9" s="6" t="n">
        <v>5</v>
      </c>
      <c r="C9" s="7" t="inlineStr">
        <is>
          <t>1249 SEJARAH</t>
        </is>
      </c>
      <c r="D9" s="8" t="n">
        <v>98</v>
      </c>
      <c r="E9" s="10" t="inlineStr">
        <is>
          <t>53.19%</t>
        </is>
      </c>
      <c r="F9" s="18" t="inlineStr">
        <is>
          <t>5.79</t>
        </is>
      </c>
      <c r="G9" s="18" t="inlineStr">
        <is>
          <t>⛔ LEMAH</t>
        </is>
      </c>
    </row>
    <row r="10" ht="18" customHeight="1">
      <c r="A10" s="11" t="n">
        <v>6</v>
      </c>
      <c r="C10" s="12" t="inlineStr">
        <is>
          <t>1223 PENDIDIKAN ISLAM</t>
        </is>
      </c>
      <c r="D10" s="13" t="n">
        <v>85</v>
      </c>
      <c r="E10" s="17" t="inlineStr">
        <is>
          <t>34.57%</t>
        </is>
      </c>
      <c r="F10" s="17" t="inlineStr">
        <is>
          <t>7.27</t>
        </is>
      </c>
      <c r="G10" s="17" t="inlineStr">
        <is>
          <t>🚨 KRITIKAL</t>
        </is>
      </c>
    </row>
    <row r="11" ht="18" customHeight="1">
      <c r="A11" s="6" t="n">
        <v>7</v>
      </c>
      <c r="C11" s="7" t="inlineStr">
        <is>
          <t>1225 PENDIDIKAN MORAL</t>
        </is>
      </c>
      <c r="D11" s="8" t="n">
        <v>13</v>
      </c>
      <c r="E11" s="10" t="inlineStr">
        <is>
          <t>58.33%</t>
        </is>
      </c>
      <c r="F11" s="18" t="inlineStr">
        <is>
          <t>5.17</t>
        </is>
      </c>
      <c r="G11" s="18" t="inlineStr">
        <is>
          <t>⛔ LEMAH</t>
        </is>
      </c>
    </row>
    <row r="12" ht="18" customHeight="1">
      <c r="A12" s="11" t="n">
        <v>8</v>
      </c>
      <c r="C12" s="12" t="inlineStr">
        <is>
          <t>4551 BIOLOGI</t>
        </is>
      </c>
      <c r="D12" s="13" t="n">
        <v>11</v>
      </c>
      <c r="E12" s="17" t="inlineStr">
        <is>
          <t>18.18%</t>
        </is>
      </c>
      <c r="F12" s="17" t="inlineStr">
        <is>
          <t>8.27</t>
        </is>
      </c>
      <c r="G12" s="17" t="inlineStr">
        <is>
          <t>🚨 KRITIKAL</t>
        </is>
      </c>
    </row>
    <row r="13" ht="18" customHeight="1">
      <c r="A13" s="6" t="n">
        <v>9</v>
      </c>
      <c r="C13" s="7" t="inlineStr">
        <is>
          <t>3767 EKONOMI</t>
        </is>
      </c>
      <c r="D13" s="8" t="n">
        <v>44</v>
      </c>
      <c r="E13" s="10" t="inlineStr">
        <is>
          <t>40.00%</t>
        </is>
      </c>
      <c r="F13" s="18" t="inlineStr">
        <is>
          <t>6.63</t>
        </is>
      </c>
      <c r="G13" s="18" t="inlineStr">
        <is>
          <t>⛔ LEMAH</t>
        </is>
      </c>
    </row>
    <row r="14" ht="18" customHeight="1">
      <c r="A14" s="11" t="n">
        <v>10</v>
      </c>
      <c r="C14" s="12" t="inlineStr">
        <is>
          <t>4531 FIZIK</t>
        </is>
      </c>
      <c r="D14" s="13" t="n">
        <v>11</v>
      </c>
      <c r="E14" s="19" t="inlineStr">
        <is>
          <t>72.73%</t>
        </is>
      </c>
      <c r="F14" s="20" t="inlineStr">
        <is>
          <t>5.91</t>
        </is>
      </c>
      <c r="G14" s="20" t="inlineStr">
        <is>
          <t>⛔ LEMAH</t>
        </is>
      </c>
    </row>
    <row r="15" ht="18" customHeight="1">
      <c r="A15" s="6" t="n">
        <v>11</v>
      </c>
      <c r="C15" s="7" t="inlineStr">
        <is>
          <t>4541 KIMIA</t>
        </is>
      </c>
      <c r="D15" s="8" t="n">
        <v>11</v>
      </c>
      <c r="E15" s="10" t="inlineStr">
        <is>
          <t>45.45%</t>
        </is>
      </c>
      <c r="F15" s="16" t="inlineStr">
        <is>
          <t>7.18</t>
        </is>
      </c>
      <c r="G15" s="16" t="inlineStr">
        <is>
          <t>🚨 KRITIKAL</t>
        </is>
      </c>
    </row>
    <row r="16" ht="18" customHeight="1">
      <c r="A16" s="11" t="n">
        <v>12</v>
      </c>
      <c r="C16" s="12" t="inlineStr">
        <is>
          <t>3472 MATEMATIK TAMBAHAN</t>
        </is>
      </c>
      <c r="D16" s="13" t="n">
        <v>24</v>
      </c>
      <c r="E16" s="17" t="inlineStr">
        <is>
          <t>4.17%</t>
        </is>
      </c>
      <c r="F16" s="17" t="inlineStr">
        <is>
          <t>8.88</t>
        </is>
      </c>
      <c r="G16" s="17" t="inlineStr">
        <is>
          <t>🚨 KRITIKAL</t>
        </is>
      </c>
    </row>
    <row r="17" ht="18" customHeight="1">
      <c r="A17" s="6" t="n">
        <v>13</v>
      </c>
      <c r="C17" s="7" t="inlineStr">
        <is>
          <t>2611 PENDIDIKAN SENI VISUAL</t>
        </is>
      </c>
      <c r="D17" s="8" t="n">
        <v>40</v>
      </c>
      <c r="E17" s="10" t="inlineStr">
        <is>
          <t>54.55%</t>
        </is>
      </c>
      <c r="F17" s="18" t="inlineStr">
        <is>
          <t>5.33</t>
        </is>
      </c>
      <c r="G17" s="18" t="inlineStr">
        <is>
          <t>⛔ LEMAH</t>
        </is>
      </c>
    </row>
    <row r="18" ht="18" customHeight="1">
      <c r="A18" s="11" t="n">
        <v>14</v>
      </c>
      <c r="C18" s="12" t="inlineStr">
        <is>
          <t>3766 PERNIAGAAN</t>
        </is>
      </c>
      <c r="D18" s="13" t="n">
        <v>29</v>
      </c>
      <c r="E18" s="17" t="inlineStr">
        <is>
          <t>38.46%</t>
        </is>
      </c>
      <c r="F18" s="20" t="inlineStr">
        <is>
          <t>6.77</t>
        </is>
      </c>
      <c r="G18" s="20" t="inlineStr">
        <is>
          <t>⛔ LEMAH</t>
        </is>
      </c>
    </row>
    <row r="19" ht="18" customHeight="1">
      <c r="A19" s="6" t="n">
        <v>15</v>
      </c>
      <c r="C19" s="7" t="inlineStr">
        <is>
          <t>3756 PRINSIP PERAKAUNAN</t>
        </is>
      </c>
      <c r="D19" s="8" t="n">
        <v>24</v>
      </c>
      <c r="E19" s="16" t="inlineStr">
        <is>
          <t>8.70%</t>
        </is>
      </c>
      <c r="F19" s="16" t="inlineStr">
        <is>
          <t>8.61</t>
        </is>
      </c>
      <c r="G19" s="16" t="inlineStr">
        <is>
          <t>🚨 KRITIKAL</t>
        </is>
      </c>
    </row>
    <row r="20" ht="18" customHeight="1">
      <c r="A20" s="11" t="n">
        <v>16</v>
      </c>
      <c r="C20" s="12" t="inlineStr">
        <is>
          <t>3769 SAINS RUMAH TANGGA</t>
        </is>
      </c>
      <c r="D20" s="13" t="n">
        <v>14</v>
      </c>
      <c r="E20" s="19" t="inlineStr">
        <is>
          <t>78.57%</t>
        </is>
      </c>
      <c r="F20" s="20" t="inlineStr">
        <is>
          <t>5.64</t>
        </is>
      </c>
      <c r="G20" s="20" t="inlineStr">
        <is>
          <t>⛔ LEMAH</t>
        </is>
      </c>
    </row>
    <row r="21" ht="18" customHeight="1">
      <c r="A21" s="6" t="n">
        <v>17</v>
      </c>
      <c r="C21" s="7" t="inlineStr">
        <is>
          <t>4572 SAINS SUKAN</t>
        </is>
      </c>
      <c r="D21" s="8" t="n">
        <v>23</v>
      </c>
      <c r="E21" s="21" t="inlineStr">
        <is>
          <t>69.57%</t>
        </is>
      </c>
      <c r="F21" s="18" t="inlineStr">
        <is>
          <t>6.13</t>
        </is>
      </c>
      <c r="G21" s="18" t="inlineStr">
        <is>
          <t>⛔ LEMAH</t>
        </is>
      </c>
    </row>
    <row r="22" ht="18" customHeight="1">
      <c r="A22" s="11" t="n">
        <v>18</v>
      </c>
      <c r="C22" s="12" t="inlineStr">
        <is>
          <t>5226 TASAWWUR ISLAM</t>
        </is>
      </c>
      <c r="D22" s="13" t="n">
        <v>11</v>
      </c>
      <c r="E22" s="19" t="inlineStr">
        <is>
          <t>72.73%</t>
        </is>
      </c>
      <c r="F22" s="20" t="inlineStr">
        <is>
          <t>5.36</t>
        </is>
      </c>
      <c r="G22" s="20" t="inlineStr">
        <is>
          <t>⛔ LEMAH</t>
        </is>
      </c>
    </row>
    <row r="24" ht="24" customHeight="1">
      <c r="A24" s="22" t="inlineStr">
        <is>
          <t>GRED PURATA SEKOLAH (GPS) — PPT 2026 TINGKATAN 5</t>
        </is>
      </c>
      <c r="F24" s="23" t="inlineStr">
        <is>
          <t>6.46</t>
        </is>
      </c>
    </row>
    <row r="27">
      <c r="A27" t="inlineStr">
        <is>
          <t>SUBJEK</t>
        </is>
      </c>
      <c r="B27" t="inlineStr">
        <is>
          <t>% LULUS</t>
        </is>
      </c>
      <c r="C27" t="inlineStr">
        <is>
          <t>GP</t>
        </is>
      </c>
    </row>
    <row r="28">
      <c r="A28" t="inlineStr">
        <is>
          <t>1103</t>
        </is>
      </c>
      <c r="B28" t="n">
        <v>81.72</v>
      </c>
      <c r="C28" t="n">
        <v>3.9</v>
      </c>
    </row>
    <row r="29">
      <c r="A29" t="inlineStr">
        <is>
          <t>1119</t>
        </is>
      </c>
      <c r="B29" t="n">
        <v>83.87</v>
      </c>
      <c r="C29" t="n">
        <v>3.51</v>
      </c>
    </row>
    <row r="30">
      <c r="A30" t="inlineStr">
        <is>
          <t>1449</t>
        </is>
      </c>
      <c r="B30" t="n">
        <v>1.11</v>
      </c>
      <c r="C30" t="n">
        <v>8.470000000000001</v>
      </c>
    </row>
    <row r="31">
      <c r="A31" t="inlineStr">
        <is>
          <t>1511</t>
        </is>
      </c>
      <c r="B31" t="n">
        <v>35.8</v>
      </c>
      <c r="C31" t="n">
        <v>7.37</v>
      </c>
    </row>
    <row r="32">
      <c r="A32" t="inlineStr">
        <is>
          <t>1249</t>
        </is>
      </c>
      <c r="B32" t="n">
        <v>53.19</v>
      </c>
      <c r="C32" t="n">
        <v>5.79</v>
      </c>
    </row>
    <row r="33">
      <c r="A33" t="inlineStr">
        <is>
          <t>1223</t>
        </is>
      </c>
      <c r="B33" t="n">
        <v>34.57</v>
      </c>
      <c r="C33" t="n">
        <v>7.27</v>
      </c>
    </row>
    <row r="34">
      <c r="A34" t="inlineStr">
        <is>
          <t>1225</t>
        </is>
      </c>
      <c r="B34" t="n">
        <v>58.33</v>
      </c>
      <c r="C34" t="n">
        <v>5.17</v>
      </c>
    </row>
    <row r="35">
      <c r="A35" t="inlineStr">
        <is>
          <t>4551</t>
        </is>
      </c>
      <c r="B35" t="n">
        <v>18.18</v>
      </c>
      <c r="C35" t="n">
        <v>8.27</v>
      </c>
    </row>
    <row r="36">
      <c r="A36" t="inlineStr">
        <is>
          <t>3767</t>
        </is>
      </c>
      <c r="B36" t="n">
        <v>40</v>
      </c>
      <c r="C36" t="n">
        <v>6.63</v>
      </c>
    </row>
    <row r="37">
      <c r="A37" t="inlineStr">
        <is>
          <t>4531</t>
        </is>
      </c>
      <c r="B37" t="n">
        <v>72.73</v>
      </c>
      <c r="C37" t="n">
        <v>5.91</v>
      </c>
    </row>
    <row r="38">
      <c r="A38" t="inlineStr">
        <is>
          <t>4541</t>
        </is>
      </c>
      <c r="B38" t="n">
        <v>45.45</v>
      </c>
      <c r="C38" t="n">
        <v>7.18</v>
      </c>
    </row>
    <row r="39">
      <c r="A39" t="inlineStr">
        <is>
          <t>3472</t>
        </is>
      </c>
      <c r="B39" t="n">
        <v>4.17</v>
      </c>
      <c r="C39" t="n">
        <v>8.880000000000001</v>
      </c>
    </row>
    <row r="40">
      <c r="A40" t="inlineStr">
        <is>
          <t>2611</t>
        </is>
      </c>
      <c r="B40" t="n">
        <v>54.55</v>
      </c>
      <c r="C40" t="n">
        <v>5.33</v>
      </c>
    </row>
    <row r="41">
      <c r="A41" t="inlineStr">
        <is>
          <t>3766</t>
        </is>
      </c>
      <c r="B41" t="n">
        <v>38.46</v>
      </c>
      <c r="C41" t="n">
        <v>6.77</v>
      </c>
    </row>
    <row r="42">
      <c r="A42" t="inlineStr">
        <is>
          <t>3756</t>
        </is>
      </c>
      <c r="B42" t="n">
        <v>8.699999999999999</v>
      </c>
      <c r="C42" t="n">
        <v>8.609999999999999</v>
      </c>
    </row>
    <row r="43">
      <c r="A43" t="inlineStr">
        <is>
          <t>3769</t>
        </is>
      </c>
      <c r="B43" t="n">
        <v>78.56999999999999</v>
      </c>
      <c r="C43" t="n">
        <v>5.64</v>
      </c>
    </row>
    <row r="44">
      <c r="A44" t="inlineStr">
        <is>
          <t>4572</t>
        </is>
      </c>
      <c r="B44" t="n">
        <v>69.56999999999999</v>
      </c>
      <c r="C44" t="n">
        <v>6.13</v>
      </c>
    </row>
    <row r="45">
      <c r="A45" t="inlineStr">
        <is>
          <t>5226</t>
        </is>
      </c>
      <c r="B45" t="n">
        <v>72.73</v>
      </c>
      <c r="C45" t="n">
        <v>5.36</v>
      </c>
    </row>
  </sheetData>
  <mergeCells count="23">
    <mergeCell ref="A15:B15"/>
    <mergeCell ref="A24:E24"/>
    <mergeCell ref="A11:B11"/>
    <mergeCell ref="A6:B6"/>
    <mergeCell ref="A16:B16"/>
    <mergeCell ref="F24:G24"/>
    <mergeCell ref="A7:B7"/>
    <mergeCell ref="A18:B18"/>
    <mergeCell ref="A12:B12"/>
    <mergeCell ref="A21:B21"/>
    <mergeCell ref="A1:G1"/>
    <mergeCell ref="A5:B5"/>
    <mergeCell ref="A14:B14"/>
    <mergeCell ref="A17:B17"/>
    <mergeCell ref="A8:B8"/>
    <mergeCell ref="A22:B22"/>
    <mergeCell ref="A4:B4"/>
    <mergeCell ref="A20:B20"/>
    <mergeCell ref="A19:B19"/>
    <mergeCell ref="A10:B10"/>
    <mergeCell ref="A13:B13"/>
    <mergeCell ref="A2:G2"/>
    <mergeCell ref="A9:B9"/>
  </mergeCells>
  <conditionalFormatting sqref="F5:F23">
    <cfRule type="colorScale" priority="1">
      <colorScale>
        <cfvo type="num" val="1"/>
        <cfvo type="num" val="5"/>
        <cfvo type="num" val="9"/>
        <color rgb="FF1E7A4A"/>
        <color rgb="FFF39C12"/>
        <color rgb="FFB22222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6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8" customWidth="1" min="3" max="3"/>
    <col width="8" customWidth="1" min="4" max="4"/>
    <col width="5" customWidth="1" min="5" max="5"/>
    <col width="6" customWidth="1" min="6" max="6"/>
    <col width="5" customWidth="1" min="7" max="7"/>
    <col width="6" customWidth="1" min="8" max="8"/>
    <col width="5" customWidth="1" min="9" max="9"/>
    <col width="6" customWidth="1" min="10" max="10"/>
    <col width="5" customWidth="1" min="11" max="11"/>
    <col width="6" customWidth="1" min="12" max="12"/>
    <col width="5" customWidth="1" min="13" max="13"/>
    <col width="6" customWidth="1" min="14" max="14"/>
    <col width="5" customWidth="1" min="15" max="15"/>
    <col width="6" customWidth="1" min="16" max="16"/>
    <col width="5" customWidth="1" min="17" max="17"/>
    <col width="6" customWidth="1" min="18" max="18"/>
    <col width="5" customWidth="1" min="19" max="19"/>
    <col width="6" customWidth="1" min="20" max="20"/>
    <col width="5" customWidth="1" min="21" max="21"/>
    <col width="6" customWidth="1" min="22" max="22"/>
    <col width="5" customWidth="1" min="23" max="23"/>
    <col width="6" customWidth="1" min="24" max="24"/>
    <col width="5" customWidth="1" min="25" max="25"/>
    <col width="6" customWidth="1" min="26" max="26"/>
    <col width="10" customWidth="1" min="27" max="27"/>
    <col width="8" customWidth="1" min="28" max="28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</cols>
  <sheetData>
    <row r="1" ht="28" customHeight="1">
      <c r="A1" s="23" t="inlineStr">
        <is>
          <t>SEKOLAH MENENGAH KEBANGSAAN KELANA JAYA</t>
        </is>
      </c>
    </row>
    <row r="2" ht="20" customHeight="1">
      <c r="A2" s="24" t="inlineStr">
        <is>
          <t>ANALISIS PEPERIKSAAN PERTENGAHAN TAHUN 2026 — TINGKATAN 5</t>
        </is>
      </c>
    </row>
    <row r="3" ht="24" customHeight="1">
      <c r="A3" s="25" t="inlineStr">
        <is>
          <t>1103  BAHASA MELAYU</t>
        </is>
      </c>
    </row>
    <row r="5" ht="16" customHeight="1">
      <c r="B5" s="26" t="inlineStr">
        <is>
          <t>JLH DAFTAR</t>
        </is>
      </c>
      <c r="G5" s="26" t="inlineStr">
        <is>
          <t>JLH HADIR</t>
        </is>
      </c>
      <c r="L5" s="26" t="inlineStr">
        <is>
          <t>% LULUS</t>
        </is>
      </c>
      <c r="Q5" s="26" t="inlineStr">
        <is>
          <t>GRED PURATA (GP)</t>
        </is>
      </c>
      <c r="W5" s="26" t="inlineStr">
        <is>
          <t>STATUS</t>
        </is>
      </c>
    </row>
    <row r="6" ht="22" customHeight="1">
      <c r="B6" s="27" t="n">
        <v>98</v>
      </c>
      <c r="G6" s="27" t="n">
        <v>93</v>
      </c>
      <c r="L6" s="28" t="inlineStr">
        <is>
          <t>81.72%</t>
        </is>
      </c>
      <c r="Q6" s="29" t="inlineStr">
        <is>
          <t>3.90</t>
        </is>
      </c>
      <c r="W6" s="29" t="inlineStr">
        <is>
          <t>⚠️ SEDERHANA</t>
        </is>
      </c>
    </row>
    <row r="8" ht="18" customHeight="1">
      <c r="A8" s="30" t="inlineStr">
        <is>
          <t>BIL</t>
        </is>
      </c>
      <c r="B8" s="30" t="inlineStr">
        <is>
          <t>KELAS</t>
        </is>
      </c>
      <c r="C8" s="30" t="inlineStr">
        <is>
          <t>DAFTAR</t>
        </is>
      </c>
      <c r="D8" s="30" t="inlineStr">
        <is>
          <t>HADIR</t>
        </is>
      </c>
      <c r="E8" s="31" t="inlineStr">
        <is>
          <t>CEMERLANG</t>
        </is>
      </c>
      <c r="K8" s="32" t="inlineStr">
        <is>
          <t>SEDERHANA</t>
        </is>
      </c>
      <c r="Q8" s="33" t="inlineStr">
        <is>
          <t>LULUS</t>
        </is>
      </c>
      <c r="S8" s="34" t="inlineStr">
        <is>
          <t>GAGAL</t>
        </is>
      </c>
      <c r="W8" s="35" t="inlineStr">
        <is>
          <t>GAGAL (G)</t>
        </is>
      </c>
      <c r="Y8" s="36" t="inlineStr">
        <is>
          <t>TH</t>
        </is>
      </c>
      <c r="AA8" s="37" t="inlineStr">
        <is>
          <t>% LULUS</t>
        </is>
      </c>
      <c r="AB8" s="30" t="inlineStr">
        <is>
          <t>GP</t>
        </is>
      </c>
    </row>
    <row r="9" ht="15" customHeight="1">
      <c r="E9" s="38" t="inlineStr">
        <is>
          <t>A+</t>
        </is>
      </c>
      <c r="F9" s="38" t="inlineStr">
        <is>
          <t>%</t>
        </is>
      </c>
      <c r="G9" s="38" t="inlineStr">
        <is>
          <t>A</t>
        </is>
      </c>
      <c r="H9" s="38" t="inlineStr">
        <is>
          <t>%</t>
        </is>
      </c>
      <c r="I9" s="38" t="inlineStr">
        <is>
          <t>A-</t>
        </is>
      </c>
      <c r="J9" s="38" t="inlineStr">
        <is>
          <t>%</t>
        </is>
      </c>
      <c r="K9" s="39" t="inlineStr">
        <is>
          <t>B+</t>
        </is>
      </c>
      <c r="L9" s="39" t="inlineStr">
        <is>
          <t>%</t>
        </is>
      </c>
      <c r="M9" s="39" t="inlineStr">
        <is>
          <t>B</t>
        </is>
      </c>
      <c r="N9" s="39" t="inlineStr">
        <is>
          <t>%</t>
        </is>
      </c>
      <c r="O9" s="39" t="inlineStr">
        <is>
          <t>C+</t>
        </is>
      </c>
      <c r="P9" s="39" t="inlineStr">
        <is>
          <t>%</t>
        </is>
      </c>
      <c r="Q9" s="40" t="inlineStr">
        <is>
          <t>C</t>
        </is>
      </c>
      <c r="R9" s="40" t="inlineStr">
        <is>
          <t>%</t>
        </is>
      </c>
      <c r="S9" s="41" t="inlineStr">
        <is>
          <t>D</t>
        </is>
      </c>
      <c r="T9" s="41" t="inlineStr">
        <is>
          <t>%</t>
        </is>
      </c>
      <c r="U9" s="41" t="inlineStr">
        <is>
          <t>E</t>
        </is>
      </c>
      <c r="V9" s="41" t="inlineStr">
        <is>
          <t>%</t>
        </is>
      </c>
      <c r="W9" s="42" t="inlineStr">
        <is>
          <t>G</t>
        </is>
      </c>
      <c r="X9" s="42" t="inlineStr">
        <is>
          <t>%</t>
        </is>
      </c>
      <c r="Y9" s="43" t="inlineStr">
        <is>
          <t>TH</t>
        </is>
      </c>
      <c r="Z9" s="43" t="inlineStr">
        <is>
          <t>%</t>
        </is>
      </c>
    </row>
    <row r="10" ht="18" customHeight="1">
      <c r="A10" s="44" t="n">
        <v>1</v>
      </c>
      <c r="B10" s="45" t="inlineStr">
        <is>
          <t>5 AKAUN</t>
        </is>
      </c>
      <c r="C10" s="46" t="n">
        <v>24</v>
      </c>
      <c r="D10" s="46" t="n">
        <v>23</v>
      </c>
      <c r="E10" s="47" t="inlineStr">
        <is>
          <t>-</t>
        </is>
      </c>
      <c r="F10" s="47" t="inlineStr">
        <is>
          <t>-</t>
        </is>
      </c>
      <c r="G10" s="48" t="inlineStr">
        <is>
          <t>5</t>
        </is>
      </c>
      <c r="H10" s="48" t="inlineStr">
        <is>
          <t>20.8</t>
        </is>
      </c>
      <c r="I10" s="48" t="inlineStr">
        <is>
          <t>12</t>
        </is>
      </c>
      <c r="J10" s="48" t="inlineStr">
        <is>
          <t>50.0</t>
        </is>
      </c>
      <c r="K10" s="49" t="inlineStr">
        <is>
          <t>2</t>
        </is>
      </c>
      <c r="L10" s="49" t="inlineStr">
        <is>
          <t>8.3</t>
        </is>
      </c>
      <c r="M10" s="49" t="inlineStr">
        <is>
          <t>3</t>
        </is>
      </c>
      <c r="N10" s="49" t="inlineStr">
        <is>
          <t>12.5</t>
        </is>
      </c>
      <c r="O10" s="49" t="inlineStr">
        <is>
          <t>1</t>
        </is>
      </c>
      <c r="P10" s="49" t="inlineStr">
        <is>
          <t>4.2</t>
        </is>
      </c>
      <c r="Q10" s="47" t="inlineStr">
        <is>
          <t>-</t>
        </is>
      </c>
      <c r="R10" s="47" t="inlineStr">
        <is>
          <t>-</t>
        </is>
      </c>
      <c r="S10" s="47" t="inlineStr">
        <is>
          <t>-</t>
        </is>
      </c>
      <c r="T10" s="47" t="inlineStr">
        <is>
          <t>-</t>
        </is>
      </c>
      <c r="U10" s="47" t="inlineStr">
        <is>
          <t>-</t>
        </is>
      </c>
      <c r="V10" s="47" t="inlineStr">
        <is>
          <t>-</t>
        </is>
      </c>
      <c r="W10" s="47" t="inlineStr">
        <is>
          <t>-</t>
        </is>
      </c>
      <c r="X10" s="47" t="inlineStr">
        <is>
          <t>-</t>
        </is>
      </c>
      <c r="Y10" s="50" t="inlineStr">
        <is>
          <t>1</t>
        </is>
      </c>
      <c r="Z10" s="50" t="inlineStr">
        <is>
          <t>4.2</t>
        </is>
      </c>
      <c r="AA10" s="51" t="inlineStr">
        <is>
          <t>95.7%</t>
        </is>
      </c>
      <c r="AB10" s="52" t="inlineStr">
        <is>
          <t>2.26</t>
        </is>
      </c>
    </row>
    <row r="11" ht="18" customHeight="1">
      <c r="A11" s="53" t="n">
        <v>2</v>
      </c>
      <c r="B11" s="54" t="inlineStr">
        <is>
          <t>5 EKONOMI</t>
        </is>
      </c>
      <c r="C11" s="55" t="n">
        <v>20</v>
      </c>
      <c r="D11" s="55" t="n">
        <v>19</v>
      </c>
      <c r="E11" s="56" t="inlineStr">
        <is>
          <t>-</t>
        </is>
      </c>
      <c r="F11" s="56" t="inlineStr">
        <is>
          <t>-</t>
        </is>
      </c>
      <c r="G11" s="56" t="inlineStr">
        <is>
          <t>-</t>
        </is>
      </c>
      <c r="H11" s="56" t="inlineStr">
        <is>
          <t>-</t>
        </is>
      </c>
      <c r="I11" s="57" t="inlineStr">
        <is>
          <t>2</t>
        </is>
      </c>
      <c r="J11" s="57" t="inlineStr">
        <is>
          <t>10.0</t>
        </is>
      </c>
      <c r="K11" s="58" t="inlineStr">
        <is>
          <t>6</t>
        </is>
      </c>
      <c r="L11" s="58" t="inlineStr">
        <is>
          <t>30.0</t>
        </is>
      </c>
      <c r="M11" s="58" t="inlineStr">
        <is>
          <t>3</t>
        </is>
      </c>
      <c r="N11" s="58" t="inlineStr">
        <is>
          <t>15.0</t>
        </is>
      </c>
      <c r="O11" s="58" t="inlineStr">
        <is>
          <t>2</t>
        </is>
      </c>
      <c r="P11" s="58" t="inlineStr">
        <is>
          <t>10.0</t>
        </is>
      </c>
      <c r="Q11" s="59" t="inlineStr">
        <is>
          <t>2</t>
        </is>
      </c>
      <c r="R11" s="59" t="inlineStr">
        <is>
          <t>10.0</t>
        </is>
      </c>
      <c r="S11" s="60" t="inlineStr">
        <is>
          <t>3</t>
        </is>
      </c>
      <c r="T11" s="60" t="inlineStr">
        <is>
          <t>15.0</t>
        </is>
      </c>
      <c r="U11" s="60" t="inlineStr">
        <is>
          <t>1</t>
        </is>
      </c>
      <c r="V11" s="60" t="inlineStr">
        <is>
          <t>5.0</t>
        </is>
      </c>
      <c r="W11" s="56" t="inlineStr">
        <is>
          <t>-</t>
        </is>
      </c>
      <c r="X11" s="56" t="inlineStr">
        <is>
          <t>-</t>
        </is>
      </c>
      <c r="Y11" s="60" t="inlineStr">
        <is>
          <t>1</t>
        </is>
      </c>
      <c r="Z11" s="60" t="inlineStr">
        <is>
          <t>5.0</t>
        </is>
      </c>
      <c r="AA11" s="61" t="inlineStr">
        <is>
          <t>89.5%</t>
        </is>
      </c>
      <c r="AB11" s="62" t="inlineStr">
        <is>
          <t>4.47</t>
        </is>
      </c>
    </row>
    <row r="12" ht="18" customHeight="1">
      <c r="A12" s="44" t="n">
        <v>3</v>
      </c>
      <c r="B12" s="45" t="inlineStr">
        <is>
          <t>5 SAINS</t>
        </is>
      </c>
      <c r="C12" s="46" t="n">
        <v>11</v>
      </c>
      <c r="D12" s="46" t="n">
        <v>11</v>
      </c>
      <c r="E12" s="47" t="inlineStr">
        <is>
          <t>-</t>
        </is>
      </c>
      <c r="F12" s="47" t="inlineStr">
        <is>
          <t>-</t>
        </is>
      </c>
      <c r="G12" s="48" t="inlineStr">
        <is>
          <t>4</t>
        </is>
      </c>
      <c r="H12" s="48" t="inlineStr">
        <is>
          <t>36.4</t>
        </is>
      </c>
      <c r="I12" s="48" t="inlineStr">
        <is>
          <t>5</t>
        </is>
      </c>
      <c r="J12" s="48" t="inlineStr">
        <is>
          <t>45.5</t>
        </is>
      </c>
      <c r="K12" s="47" t="inlineStr">
        <is>
          <t>-</t>
        </is>
      </c>
      <c r="L12" s="47" t="inlineStr">
        <is>
          <t>-</t>
        </is>
      </c>
      <c r="M12" s="49" t="inlineStr">
        <is>
          <t>1</t>
        </is>
      </c>
      <c r="N12" s="49" t="inlineStr">
        <is>
          <t>9.1</t>
        </is>
      </c>
      <c r="O12" s="47" t="inlineStr">
        <is>
          <t>-</t>
        </is>
      </c>
      <c r="P12" s="47" t="inlineStr">
        <is>
          <t>-</t>
        </is>
      </c>
      <c r="Q12" s="63" t="inlineStr">
        <is>
          <t>1</t>
        </is>
      </c>
      <c r="R12" s="63" t="inlineStr">
        <is>
          <t>9.1</t>
        </is>
      </c>
      <c r="S12" s="47" t="inlineStr">
        <is>
          <t>-</t>
        </is>
      </c>
      <c r="T12" s="47" t="inlineStr">
        <is>
          <t>-</t>
        </is>
      </c>
      <c r="U12" s="47" t="inlineStr">
        <is>
          <t>-</t>
        </is>
      </c>
      <c r="V12" s="47" t="inlineStr">
        <is>
          <t>-</t>
        </is>
      </c>
      <c r="W12" s="47" t="inlineStr">
        <is>
          <t>-</t>
        </is>
      </c>
      <c r="X12" s="47" t="inlineStr">
        <is>
          <t>-</t>
        </is>
      </c>
      <c r="Y12" s="47" t="inlineStr">
        <is>
          <t>-</t>
        </is>
      </c>
      <c r="Z12" s="47" t="inlineStr">
        <is>
          <t>-</t>
        </is>
      </c>
      <c r="AA12" s="51" t="inlineStr">
        <is>
          <t>100.0%</t>
        </is>
      </c>
      <c r="AB12" s="52" t="inlineStr">
        <is>
          <t>2.18</t>
        </is>
      </c>
    </row>
    <row r="13" ht="18" customHeight="1">
      <c r="A13" s="53" t="n">
        <v>4</v>
      </c>
      <c r="B13" s="54" t="inlineStr">
        <is>
          <t>5 SAINS GUNAAN</t>
        </is>
      </c>
      <c r="C13" s="55" t="n">
        <v>23</v>
      </c>
      <c r="D13" s="55" t="n">
        <v>23</v>
      </c>
      <c r="E13" s="56" t="inlineStr">
        <is>
          <t>-</t>
        </is>
      </c>
      <c r="F13" s="56" t="inlineStr">
        <is>
          <t>-</t>
        </is>
      </c>
      <c r="G13" s="57" t="inlineStr">
        <is>
          <t>2</t>
        </is>
      </c>
      <c r="H13" s="57" t="inlineStr">
        <is>
          <t>8.7</t>
        </is>
      </c>
      <c r="I13" s="57" t="inlineStr">
        <is>
          <t>7</t>
        </is>
      </c>
      <c r="J13" s="57" t="inlineStr">
        <is>
          <t>30.4</t>
        </is>
      </c>
      <c r="K13" s="58" t="inlineStr">
        <is>
          <t>2</t>
        </is>
      </c>
      <c r="L13" s="58" t="inlineStr">
        <is>
          <t>8.7</t>
        </is>
      </c>
      <c r="M13" s="58" t="inlineStr">
        <is>
          <t>5</t>
        </is>
      </c>
      <c r="N13" s="58" t="inlineStr">
        <is>
          <t>21.7</t>
        </is>
      </c>
      <c r="O13" s="58" t="inlineStr">
        <is>
          <t>3</t>
        </is>
      </c>
      <c r="P13" s="58" t="inlineStr">
        <is>
          <t>13.0</t>
        </is>
      </c>
      <c r="Q13" s="59" t="inlineStr">
        <is>
          <t>4</t>
        </is>
      </c>
      <c r="R13" s="59" t="inlineStr">
        <is>
          <t>17.4</t>
        </is>
      </c>
      <c r="S13" s="56" t="inlineStr">
        <is>
          <t>-</t>
        </is>
      </c>
      <c r="T13" s="56" t="inlineStr">
        <is>
          <t>-</t>
        </is>
      </c>
      <c r="U13" s="56" t="inlineStr">
        <is>
          <t>-</t>
        </is>
      </c>
      <c r="V13" s="56" t="inlineStr">
        <is>
          <t>-</t>
        </is>
      </c>
      <c r="W13" s="56" t="inlineStr">
        <is>
          <t>-</t>
        </is>
      </c>
      <c r="X13" s="56" t="inlineStr">
        <is>
          <t>-</t>
        </is>
      </c>
      <c r="Y13" s="56" t="inlineStr">
        <is>
          <t>-</t>
        </is>
      </c>
      <c r="Z13" s="56" t="inlineStr">
        <is>
          <t>-</t>
        </is>
      </c>
      <c r="AA13" s="61" t="inlineStr">
        <is>
          <t>100.0%</t>
        </is>
      </c>
      <c r="AB13" s="62" t="inlineStr">
        <is>
          <t>3.52</t>
        </is>
      </c>
    </row>
    <row r="14" ht="18" customHeight="1">
      <c r="A14" s="44" t="n">
        <v>5</v>
      </c>
      <c r="B14" s="45" t="inlineStr">
        <is>
          <t>5 SENI</t>
        </is>
      </c>
      <c r="C14" s="46" t="n">
        <v>20</v>
      </c>
      <c r="D14" s="46" t="n">
        <v>17</v>
      </c>
      <c r="E14" s="47" t="inlineStr">
        <is>
          <t>-</t>
        </is>
      </c>
      <c r="F14" s="47" t="inlineStr">
        <is>
          <t>-</t>
        </is>
      </c>
      <c r="G14" s="47" t="inlineStr">
        <is>
          <t>-</t>
        </is>
      </c>
      <c r="H14" s="47" t="inlineStr">
        <is>
          <t>-</t>
        </is>
      </c>
      <c r="I14" s="48" t="inlineStr">
        <is>
          <t>2</t>
        </is>
      </c>
      <c r="J14" s="48" t="inlineStr">
        <is>
          <t>10.0</t>
        </is>
      </c>
      <c r="K14" s="47" t="inlineStr">
        <is>
          <t>-</t>
        </is>
      </c>
      <c r="L14" s="47" t="inlineStr">
        <is>
          <t>-</t>
        </is>
      </c>
      <c r="M14" s="49" t="inlineStr">
        <is>
          <t>1</t>
        </is>
      </c>
      <c r="N14" s="49" t="inlineStr">
        <is>
          <t>5.0</t>
        </is>
      </c>
      <c r="O14" s="49" t="inlineStr">
        <is>
          <t>1</t>
        </is>
      </c>
      <c r="P14" s="49" t="inlineStr">
        <is>
          <t>5.0</t>
        </is>
      </c>
      <c r="Q14" s="63" t="inlineStr">
        <is>
          <t>1</t>
        </is>
      </c>
      <c r="R14" s="63" t="inlineStr">
        <is>
          <t>5.0</t>
        </is>
      </c>
      <c r="S14" s="50" t="inlineStr">
        <is>
          <t>1</t>
        </is>
      </c>
      <c r="T14" s="50" t="inlineStr">
        <is>
          <t>5.0</t>
        </is>
      </c>
      <c r="U14" s="50" t="inlineStr">
        <is>
          <t>4</t>
        </is>
      </c>
      <c r="V14" s="50" t="inlineStr">
        <is>
          <t>20.0</t>
        </is>
      </c>
      <c r="W14" s="50" t="inlineStr">
        <is>
          <t>7</t>
        </is>
      </c>
      <c r="X14" s="50" t="inlineStr">
        <is>
          <t>35.0</t>
        </is>
      </c>
      <c r="Y14" s="50" t="inlineStr">
        <is>
          <t>3</t>
        </is>
      </c>
      <c r="Z14" s="50" t="inlineStr">
        <is>
          <t>15.0</t>
        </is>
      </c>
      <c r="AA14" s="64" t="inlineStr">
        <is>
          <t>17.6%</t>
        </is>
      </c>
      <c r="AB14" s="64" t="inlineStr">
        <is>
          <t>7.12</t>
        </is>
      </c>
    </row>
    <row r="15" ht="20" customHeight="1">
      <c r="A15" s="30" t="inlineStr">
        <is>
          <t>JUMLAH / GP</t>
        </is>
      </c>
      <c r="C15" s="65" t="n">
        <v>98</v>
      </c>
      <c r="D15" s="65" t="n">
        <v>93</v>
      </c>
      <c r="E15" s="66" t="inlineStr">
        <is>
          <t>-</t>
        </is>
      </c>
      <c r="F15" s="66" t="inlineStr">
        <is>
          <t>-</t>
        </is>
      </c>
      <c r="G15" s="67" t="inlineStr">
        <is>
          <t>11</t>
        </is>
      </c>
      <c r="H15" s="67" t="inlineStr">
        <is>
          <t>11.2</t>
        </is>
      </c>
      <c r="I15" s="67" t="inlineStr">
        <is>
          <t>28</t>
        </is>
      </c>
      <c r="J15" s="67" t="inlineStr">
        <is>
          <t>28.6</t>
        </is>
      </c>
      <c r="K15" s="68" t="inlineStr">
        <is>
          <t>10</t>
        </is>
      </c>
      <c r="L15" s="68" t="inlineStr">
        <is>
          <t>10.2</t>
        </is>
      </c>
      <c r="M15" s="68" t="inlineStr">
        <is>
          <t>13</t>
        </is>
      </c>
      <c r="N15" s="68" t="inlineStr">
        <is>
          <t>13.3</t>
        </is>
      </c>
      <c r="O15" s="68" t="inlineStr">
        <is>
          <t>7</t>
        </is>
      </c>
      <c r="P15" s="68" t="inlineStr">
        <is>
          <t>7.1</t>
        </is>
      </c>
      <c r="Q15" s="69" t="inlineStr">
        <is>
          <t>8</t>
        </is>
      </c>
      <c r="R15" s="69" t="inlineStr">
        <is>
          <t>8.2</t>
        </is>
      </c>
      <c r="S15" s="70" t="inlineStr">
        <is>
          <t>4</t>
        </is>
      </c>
      <c r="T15" s="70" t="inlineStr">
        <is>
          <t>4.1</t>
        </is>
      </c>
      <c r="U15" s="70" t="inlineStr">
        <is>
          <t>5</t>
        </is>
      </c>
      <c r="V15" s="70" t="inlineStr">
        <is>
          <t>5.1</t>
        </is>
      </c>
      <c r="W15" s="70" t="inlineStr">
        <is>
          <t>7</t>
        </is>
      </c>
      <c r="X15" s="70" t="inlineStr">
        <is>
          <t>7.1</t>
        </is>
      </c>
      <c r="Y15" s="70" t="inlineStr">
        <is>
          <t>5</t>
        </is>
      </c>
      <c r="Z15" s="70" t="inlineStr">
        <is>
          <t>5.1</t>
        </is>
      </c>
      <c r="AA15" s="67" t="inlineStr">
        <is>
          <t>81.72%</t>
        </is>
      </c>
      <c r="AB15" s="68" t="inlineStr">
        <is>
          <t>3.90</t>
        </is>
      </c>
    </row>
    <row r="17" ht="22" customHeight="1">
      <c r="A17" s="30" t="inlineStr">
        <is>
          <t>STATUS PENCAPAIAN</t>
        </is>
      </c>
      <c r="E17" s="15" t="inlineStr">
        <is>
          <t>⚠️ SEDERHANA   |   GP: 3.90   |   % LULUS: 81.72%</t>
        </is>
      </c>
    </row>
    <row r="19" ht="15" customHeight="1">
      <c r="A19" s="71" t="inlineStr">
        <is>
          <t>🏆 CEMERLANG  GP ≤ 2.0</t>
        </is>
      </c>
      <c r="F19" s="72" t="inlineStr">
        <is>
          <t>✅ BAIK  GP 2.01–3.00</t>
        </is>
      </c>
      <c r="K19" s="73" t="inlineStr">
        <is>
          <t>⚠️ SEDERHANA  GP 3.01–5.00</t>
        </is>
      </c>
      <c r="P19" s="74" t="inlineStr">
        <is>
          <t>⛔ LEMAH  GP 5.01–7.00</t>
        </is>
      </c>
      <c r="U19" s="75" t="inlineStr">
        <is>
          <t>🚨 KRITIKAL  GP &gt; 7.00</t>
        </is>
      </c>
    </row>
    <row r="21">
      <c r="AF21" t="inlineStr">
        <is>
          <t>KELAS</t>
        </is>
      </c>
      <c r="AG21" t="inlineStr">
        <is>
          <t>% LULUS</t>
        </is>
      </c>
      <c r="AH21" t="inlineStr">
        <is>
          <t>GP</t>
        </is>
      </c>
      <c r="AI21" t="inlineStr">
        <is>
          <t>A+</t>
        </is>
      </c>
      <c r="AJ21" t="inlineStr">
        <is>
          <t>A</t>
        </is>
      </c>
      <c r="AK21" t="inlineStr">
        <is>
          <t>A-</t>
        </is>
      </c>
      <c r="AL21" t="inlineStr">
        <is>
          <t>B+</t>
        </is>
      </c>
      <c r="AM21" t="inlineStr">
        <is>
          <t>B</t>
        </is>
      </c>
      <c r="AN21" t="inlineStr">
        <is>
          <t>C+</t>
        </is>
      </c>
      <c r="AO21" t="inlineStr">
        <is>
          <t>C</t>
        </is>
      </c>
      <c r="AP21" t="inlineStr">
        <is>
          <t>D</t>
        </is>
      </c>
      <c r="AQ21" t="inlineStr">
        <is>
          <t>E</t>
        </is>
      </c>
      <c r="AR21" t="inlineStr">
        <is>
          <t>G</t>
        </is>
      </c>
      <c r="AS21" t="inlineStr">
        <is>
          <t>TH</t>
        </is>
      </c>
    </row>
    <row r="22">
      <c r="AF22" t="inlineStr">
        <is>
          <t>5 AKAUN</t>
        </is>
      </c>
      <c r="AG22" t="n">
        <v>95.7</v>
      </c>
      <c r="AH22" t="n">
        <v>2.26</v>
      </c>
      <c r="AI22" t="n">
        <v>0</v>
      </c>
      <c r="AJ22" t="n">
        <v>5</v>
      </c>
      <c r="AK22" t="n">
        <v>12</v>
      </c>
      <c r="AL22" t="n">
        <v>2</v>
      </c>
      <c r="AM22" t="n">
        <v>3</v>
      </c>
      <c r="AN22" t="n">
        <v>1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</row>
    <row r="23">
      <c r="AF23" t="inlineStr">
        <is>
          <t>5 EKONOMI</t>
        </is>
      </c>
      <c r="AG23" t="n">
        <v>89.5</v>
      </c>
      <c r="AH23" t="n">
        <v>4.47</v>
      </c>
      <c r="AI23" t="n">
        <v>0</v>
      </c>
      <c r="AJ23" t="n">
        <v>0</v>
      </c>
      <c r="AK23" t="n">
        <v>2</v>
      </c>
      <c r="AL23" t="n">
        <v>6</v>
      </c>
      <c r="AM23" t="n">
        <v>3</v>
      </c>
      <c r="AN23" t="n">
        <v>2</v>
      </c>
      <c r="AO23" t="n">
        <v>2</v>
      </c>
      <c r="AP23" t="n">
        <v>3</v>
      </c>
      <c r="AQ23" t="n">
        <v>1</v>
      </c>
      <c r="AR23" t="n">
        <v>0</v>
      </c>
      <c r="AS23" t="n">
        <v>1</v>
      </c>
    </row>
    <row r="24">
      <c r="AF24" t="inlineStr">
        <is>
          <t>5 SAINS</t>
        </is>
      </c>
      <c r="AG24" t="n">
        <v>100</v>
      </c>
      <c r="AH24" t="n">
        <v>2.18</v>
      </c>
      <c r="AI24" t="n">
        <v>0</v>
      </c>
      <c r="AJ24" t="n">
        <v>4</v>
      </c>
      <c r="AK24" t="n">
        <v>5</v>
      </c>
      <c r="AL24" t="n">
        <v>0</v>
      </c>
      <c r="AM24" t="n">
        <v>1</v>
      </c>
      <c r="AN24" t="n">
        <v>0</v>
      </c>
      <c r="AO24" t="n">
        <v>1</v>
      </c>
      <c r="AP24" t="n">
        <v>0</v>
      </c>
      <c r="AQ24" t="n">
        <v>0</v>
      </c>
      <c r="AR24" t="n">
        <v>0</v>
      </c>
      <c r="AS24" t="n">
        <v>0</v>
      </c>
    </row>
    <row r="25">
      <c r="AF25" t="inlineStr">
        <is>
          <t>5 SAINS GUNAAN</t>
        </is>
      </c>
      <c r="AG25" t="n">
        <v>100</v>
      </c>
      <c r="AH25" t="n">
        <v>3.52</v>
      </c>
      <c r="AI25" t="n">
        <v>0</v>
      </c>
      <c r="AJ25" t="n">
        <v>2</v>
      </c>
      <c r="AK25" t="n">
        <v>7</v>
      </c>
      <c r="AL25" t="n">
        <v>2</v>
      </c>
      <c r="AM25" t="n">
        <v>5</v>
      </c>
      <c r="AN25" t="n">
        <v>3</v>
      </c>
      <c r="AO25" t="n">
        <v>4</v>
      </c>
      <c r="AP25" t="n">
        <v>0</v>
      </c>
      <c r="AQ25" t="n">
        <v>0</v>
      </c>
      <c r="AR25" t="n">
        <v>0</v>
      </c>
      <c r="AS25" t="n">
        <v>0</v>
      </c>
    </row>
    <row r="26">
      <c r="AF26" t="inlineStr">
        <is>
          <t>5 SENI</t>
        </is>
      </c>
      <c r="AG26" t="n">
        <v>17.6</v>
      </c>
      <c r="AH26" t="n">
        <v>7.12</v>
      </c>
      <c r="AI26" t="n">
        <v>0</v>
      </c>
      <c r="AJ26" t="n">
        <v>0</v>
      </c>
      <c r="AK26" t="n">
        <v>2</v>
      </c>
      <c r="AL26" t="n">
        <v>0</v>
      </c>
      <c r="AM26" t="n">
        <v>1</v>
      </c>
      <c r="AN26" t="n">
        <v>1</v>
      </c>
      <c r="AO26" t="n">
        <v>1</v>
      </c>
      <c r="AP26" t="n">
        <v>1</v>
      </c>
      <c r="AQ26" t="n">
        <v>4</v>
      </c>
      <c r="AR26" t="n">
        <v>7</v>
      </c>
      <c r="AS26" t="n">
        <v>3</v>
      </c>
    </row>
  </sheetData>
  <mergeCells count="33">
    <mergeCell ref="E17:AB17"/>
    <mergeCell ref="A2:AB2"/>
    <mergeCell ref="A17:D17"/>
    <mergeCell ref="A15:B15"/>
    <mergeCell ref="Q5:V5"/>
    <mergeCell ref="F19:J19"/>
    <mergeCell ref="B8:B9"/>
    <mergeCell ref="Q8:R8"/>
    <mergeCell ref="K8:P8"/>
    <mergeCell ref="Q6:V6"/>
    <mergeCell ref="AB8:AB9"/>
    <mergeCell ref="L5:P5"/>
    <mergeCell ref="G6:K6"/>
    <mergeCell ref="A8:A9"/>
    <mergeCell ref="C8:C9"/>
    <mergeCell ref="S8:V8"/>
    <mergeCell ref="D8:D9"/>
    <mergeCell ref="A1:AB1"/>
    <mergeCell ref="G5:K5"/>
    <mergeCell ref="P19:T19"/>
    <mergeCell ref="W8:X8"/>
    <mergeCell ref="B6:F6"/>
    <mergeCell ref="W6:AB6"/>
    <mergeCell ref="AA8:AA9"/>
    <mergeCell ref="L6:P6"/>
    <mergeCell ref="B5:F5"/>
    <mergeCell ref="A19:E19"/>
    <mergeCell ref="W5:AB5"/>
    <mergeCell ref="E8:J8"/>
    <mergeCell ref="U19:Y19"/>
    <mergeCell ref="K19:O19"/>
    <mergeCell ref="Y8:Z8"/>
    <mergeCell ref="A3:AB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26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8" customWidth="1" min="3" max="3"/>
    <col width="8" customWidth="1" min="4" max="4"/>
    <col width="5" customWidth="1" min="5" max="5"/>
    <col width="6" customWidth="1" min="6" max="6"/>
    <col width="5" customWidth="1" min="7" max="7"/>
    <col width="6" customWidth="1" min="8" max="8"/>
    <col width="5" customWidth="1" min="9" max="9"/>
    <col width="6" customWidth="1" min="10" max="10"/>
    <col width="5" customWidth="1" min="11" max="11"/>
    <col width="6" customWidth="1" min="12" max="12"/>
    <col width="5" customWidth="1" min="13" max="13"/>
    <col width="6" customWidth="1" min="14" max="14"/>
    <col width="5" customWidth="1" min="15" max="15"/>
    <col width="6" customWidth="1" min="16" max="16"/>
    <col width="5" customWidth="1" min="17" max="17"/>
    <col width="6" customWidth="1" min="18" max="18"/>
    <col width="5" customWidth="1" min="19" max="19"/>
    <col width="6" customWidth="1" min="20" max="20"/>
    <col width="5" customWidth="1" min="21" max="21"/>
    <col width="6" customWidth="1" min="22" max="22"/>
    <col width="5" customWidth="1" min="23" max="23"/>
    <col width="6" customWidth="1" min="24" max="24"/>
    <col width="5" customWidth="1" min="25" max="25"/>
    <col width="6" customWidth="1" min="26" max="26"/>
    <col width="10" customWidth="1" min="27" max="27"/>
    <col width="8" customWidth="1" min="28" max="28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</cols>
  <sheetData>
    <row r="1" ht="28" customHeight="1">
      <c r="A1" s="23" t="inlineStr">
        <is>
          <t>SEKOLAH MENENGAH KEBANGSAAN KELANA JAYA</t>
        </is>
      </c>
    </row>
    <row r="2" ht="20" customHeight="1">
      <c r="A2" s="24" t="inlineStr">
        <is>
          <t>ANALISIS PEPERIKSAAN PERTENGAHAN TAHUN 2026 — TINGKATAN 5</t>
        </is>
      </c>
    </row>
    <row r="3" ht="24" customHeight="1">
      <c r="A3" s="25" t="inlineStr">
        <is>
          <t>1119  BAHASA INGGERIS</t>
        </is>
      </c>
    </row>
    <row r="5" ht="16" customHeight="1">
      <c r="B5" s="26" t="inlineStr">
        <is>
          <t>JLH DAFTAR</t>
        </is>
      </c>
      <c r="G5" s="26" t="inlineStr">
        <is>
          <t>JLH HADIR</t>
        </is>
      </c>
      <c r="L5" s="26" t="inlineStr">
        <is>
          <t>% LULUS</t>
        </is>
      </c>
      <c r="Q5" s="26" t="inlineStr">
        <is>
          <t>GRED PURATA (GP)</t>
        </is>
      </c>
      <c r="W5" s="26" t="inlineStr">
        <is>
          <t>STATUS</t>
        </is>
      </c>
    </row>
    <row r="6" ht="22" customHeight="1">
      <c r="B6" s="27" t="n">
        <v>98</v>
      </c>
      <c r="G6" s="27" t="n">
        <v>93</v>
      </c>
      <c r="L6" s="28" t="inlineStr">
        <is>
          <t>83.87%</t>
        </is>
      </c>
      <c r="Q6" s="29" t="inlineStr">
        <is>
          <t>3.51</t>
        </is>
      </c>
      <c r="W6" s="29" t="inlineStr">
        <is>
          <t>⚠️ SEDERHANA</t>
        </is>
      </c>
    </row>
    <row r="8" ht="18" customHeight="1">
      <c r="A8" s="30" t="inlineStr">
        <is>
          <t>BIL</t>
        </is>
      </c>
      <c r="B8" s="30" t="inlineStr">
        <is>
          <t>KELAS</t>
        </is>
      </c>
      <c r="C8" s="30" t="inlineStr">
        <is>
          <t>DAFTAR</t>
        </is>
      </c>
      <c r="D8" s="30" t="inlineStr">
        <is>
          <t>HADIR</t>
        </is>
      </c>
      <c r="E8" s="31" t="inlineStr">
        <is>
          <t>CEMERLANG</t>
        </is>
      </c>
      <c r="K8" s="32" t="inlineStr">
        <is>
          <t>SEDERHANA</t>
        </is>
      </c>
      <c r="Q8" s="33" t="inlineStr">
        <is>
          <t>LULUS</t>
        </is>
      </c>
      <c r="S8" s="34" t="inlineStr">
        <is>
          <t>GAGAL</t>
        </is>
      </c>
      <c r="W8" s="35" t="inlineStr">
        <is>
          <t>GAGAL (G)</t>
        </is>
      </c>
      <c r="Y8" s="36" t="inlineStr">
        <is>
          <t>TH</t>
        </is>
      </c>
      <c r="AA8" s="37" t="inlineStr">
        <is>
          <t>% LULUS</t>
        </is>
      </c>
      <c r="AB8" s="30" t="inlineStr">
        <is>
          <t>GP</t>
        </is>
      </c>
    </row>
    <row r="9" ht="15" customHeight="1">
      <c r="E9" s="38" t="inlineStr">
        <is>
          <t>A+</t>
        </is>
      </c>
      <c r="F9" s="38" t="inlineStr">
        <is>
          <t>%</t>
        </is>
      </c>
      <c r="G9" s="38" t="inlineStr">
        <is>
          <t>A</t>
        </is>
      </c>
      <c r="H9" s="38" t="inlineStr">
        <is>
          <t>%</t>
        </is>
      </c>
      <c r="I9" s="38" t="inlineStr">
        <is>
          <t>A-</t>
        </is>
      </c>
      <c r="J9" s="38" t="inlineStr">
        <is>
          <t>%</t>
        </is>
      </c>
      <c r="K9" s="39" t="inlineStr">
        <is>
          <t>B+</t>
        </is>
      </c>
      <c r="L9" s="39" t="inlineStr">
        <is>
          <t>%</t>
        </is>
      </c>
      <c r="M9" s="39" t="inlineStr">
        <is>
          <t>B</t>
        </is>
      </c>
      <c r="N9" s="39" t="inlineStr">
        <is>
          <t>%</t>
        </is>
      </c>
      <c r="O9" s="39" t="inlineStr">
        <is>
          <t>C+</t>
        </is>
      </c>
      <c r="P9" s="39" t="inlineStr">
        <is>
          <t>%</t>
        </is>
      </c>
      <c r="Q9" s="40" t="inlineStr">
        <is>
          <t>C</t>
        </is>
      </c>
      <c r="R9" s="40" t="inlineStr">
        <is>
          <t>%</t>
        </is>
      </c>
      <c r="S9" s="41" t="inlineStr">
        <is>
          <t>D</t>
        </is>
      </c>
      <c r="T9" s="41" t="inlineStr">
        <is>
          <t>%</t>
        </is>
      </c>
      <c r="U9" s="41" t="inlineStr">
        <is>
          <t>E</t>
        </is>
      </c>
      <c r="V9" s="41" t="inlineStr">
        <is>
          <t>%</t>
        </is>
      </c>
      <c r="W9" s="42" t="inlineStr">
        <is>
          <t>G</t>
        </is>
      </c>
      <c r="X9" s="42" t="inlineStr">
        <is>
          <t>%</t>
        </is>
      </c>
      <c r="Y9" s="43" t="inlineStr">
        <is>
          <t>TH</t>
        </is>
      </c>
      <c r="Z9" s="43" t="inlineStr">
        <is>
          <t>%</t>
        </is>
      </c>
    </row>
    <row r="10" ht="18" customHeight="1">
      <c r="A10" s="44" t="n">
        <v>1</v>
      </c>
      <c r="B10" s="45" t="inlineStr">
        <is>
          <t>5 AKAUN</t>
        </is>
      </c>
      <c r="C10" s="46" t="n">
        <v>24</v>
      </c>
      <c r="D10" s="46" t="n">
        <v>24</v>
      </c>
      <c r="E10" s="48" t="inlineStr">
        <is>
          <t>5</t>
        </is>
      </c>
      <c r="F10" s="48" t="inlineStr">
        <is>
          <t>20.8</t>
        </is>
      </c>
      <c r="G10" s="48" t="inlineStr">
        <is>
          <t>7</t>
        </is>
      </c>
      <c r="H10" s="48" t="inlineStr">
        <is>
          <t>29.2</t>
        </is>
      </c>
      <c r="I10" s="48" t="inlineStr">
        <is>
          <t>5</t>
        </is>
      </c>
      <c r="J10" s="48" t="inlineStr">
        <is>
          <t>20.8</t>
        </is>
      </c>
      <c r="K10" s="49" t="inlineStr">
        <is>
          <t>2</t>
        </is>
      </c>
      <c r="L10" s="49" t="inlineStr">
        <is>
          <t>8.3</t>
        </is>
      </c>
      <c r="M10" s="49" t="inlineStr">
        <is>
          <t>3</t>
        </is>
      </c>
      <c r="N10" s="49" t="inlineStr">
        <is>
          <t>12.5</t>
        </is>
      </c>
      <c r="O10" s="49" t="inlineStr">
        <is>
          <t>1</t>
        </is>
      </c>
      <c r="P10" s="49" t="inlineStr">
        <is>
          <t>4.2</t>
        </is>
      </c>
      <c r="Q10" s="47" t="inlineStr">
        <is>
          <t>-</t>
        </is>
      </c>
      <c r="R10" s="47" t="inlineStr">
        <is>
          <t>-</t>
        </is>
      </c>
      <c r="S10" s="50" t="inlineStr">
        <is>
          <t>1</t>
        </is>
      </c>
      <c r="T10" s="50" t="inlineStr">
        <is>
          <t>4.2</t>
        </is>
      </c>
      <c r="U10" s="47" t="inlineStr">
        <is>
          <t>-</t>
        </is>
      </c>
      <c r="V10" s="47" t="inlineStr">
        <is>
          <t>-</t>
        </is>
      </c>
      <c r="W10" s="47" t="inlineStr">
        <is>
          <t>-</t>
        </is>
      </c>
      <c r="X10" s="47" t="inlineStr">
        <is>
          <t>-</t>
        </is>
      </c>
      <c r="Y10" s="47" t="inlineStr">
        <is>
          <t>-</t>
        </is>
      </c>
      <c r="Z10" s="47" t="inlineStr">
        <is>
          <t>-</t>
        </is>
      </c>
      <c r="AA10" s="51" t="inlineStr">
        <is>
          <t>100.0%</t>
        </is>
      </c>
      <c r="AB10" s="51" t="inlineStr">
        <is>
          <t>1.96</t>
        </is>
      </c>
    </row>
    <row r="11" ht="18" customHeight="1">
      <c r="A11" s="53" t="n">
        <v>2</v>
      </c>
      <c r="B11" s="54" t="inlineStr">
        <is>
          <t>5 EKONOMI</t>
        </is>
      </c>
      <c r="C11" s="55" t="n">
        <v>20</v>
      </c>
      <c r="D11" s="55" t="n">
        <v>19</v>
      </c>
      <c r="E11" s="56" t="inlineStr">
        <is>
          <t>-</t>
        </is>
      </c>
      <c r="F11" s="56" t="inlineStr">
        <is>
          <t>-</t>
        </is>
      </c>
      <c r="G11" s="57" t="inlineStr">
        <is>
          <t>2</t>
        </is>
      </c>
      <c r="H11" s="57" t="inlineStr">
        <is>
          <t>10.0</t>
        </is>
      </c>
      <c r="I11" s="57" t="inlineStr">
        <is>
          <t>5</t>
        </is>
      </c>
      <c r="J11" s="57" t="inlineStr">
        <is>
          <t>25.0</t>
        </is>
      </c>
      <c r="K11" s="58" t="inlineStr">
        <is>
          <t>4</t>
        </is>
      </c>
      <c r="L11" s="58" t="inlineStr">
        <is>
          <t>20.0</t>
        </is>
      </c>
      <c r="M11" s="58" t="inlineStr">
        <is>
          <t>2</t>
        </is>
      </c>
      <c r="N11" s="58" t="inlineStr">
        <is>
          <t>10.0</t>
        </is>
      </c>
      <c r="O11" s="58" t="inlineStr">
        <is>
          <t>3</t>
        </is>
      </c>
      <c r="P11" s="58" t="inlineStr">
        <is>
          <t>15.0</t>
        </is>
      </c>
      <c r="Q11" s="59" t="inlineStr">
        <is>
          <t>2</t>
        </is>
      </c>
      <c r="R11" s="59" t="inlineStr">
        <is>
          <t>10.0</t>
        </is>
      </c>
      <c r="S11" s="56" t="inlineStr">
        <is>
          <t>-</t>
        </is>
      </c>
      <c r="T11" s="56" t="inlineStr">
        <is>
          <t>-</t>
        </is>
      </c>
      <c r="U11" s="60" t="inlineStr">
        <is>
          <t>1</t>
        </is>
      </c>
      <c r="V11" s="60" t="inlineStr">
        <is>
          <t>5.0</t>
        </is>
      </c>
      <c r="W11" s="56" t="inlineStr">
        <is>
          <t>-</t>
        </is>
      </c>
      <c r="X11" s="56" t="inlineStr">
        <is>
          <t>-</t>
        </is>
      </c>
      <c r="Y11" s="60" t="inlineStr">
        <is>
          <t>1</t>
        </is>
      </c>
      <c r="Z11" s="60" t="inlineStr">
        <is>
          <t>5.0</t>
        </is>
      </c>
      <c r="AA11" s="61" t="inlineStr">
        <is>
          <t>89.5%</t>
        </is>
      </c>
      <c r="AB11" s="62" t="inlineStr">
        <is>
          <t>3.53</t>
        </is>
      </c>
    </row>
    <row r="12" ht="18" customHeight="1">
      <c r="A12" s="44" t="n">
        <v>3</v>
      </c>
      <c r="B12" s="45" t="inlineStr">
        <is>
          <t>5 SAINS</t>
        </is>
      </c>
      <c r="C12" s="46" t="n">
        <v>11</v>
      </c>
      <c r="D12" s="46" t="n">
        <v>11</v>
      </c>
      <c r="E12" s="48" t="inlineStr">
        <is>
          <t>1</t>
        </is>
      </c>
      <c r="F12" s="48" t="inlineStr">
        <is>
          <t>9.1</t>
        </is>
      </c>
      <c r="G12" s="48" t="inlineStr">
        <is>
          <t>2</t>
        </is>
      </c>
      <c r="H12" s="48" t="inlineStr">
        <is>
          <t>18.2</t>
        </is>
      </c>
      <c r="I12" s="48" t="inlineStr">
        <is>
          <t>5</t>
        </is>
      </c>
      <c r="J12" s="48" t="inlineStr">
        <is>
          <t>45.5</t>
        </is>
      </c>
      <c r="K12" s="49" t="inlineStr">
        <is>
          <t>1</t>
        </is>
      </c>
      <c r="L12" s="49" t="inlineStr">
        <is>
          <t>9.1</t>
        </is>
      </c>
      <c r="M12" s="49" t="inlineStr">
        <is>
          <t>1</t>
        </is>
      </c>
      <c r="N12" s="49" t="inlineStr">
        <is>
          <t>9.1</t>
        </is>
      </c>
      <c r="O12" s="49" t="inlineStr">
        <is>
          <t>1</t>
        </is>
      </c>
      <c r="P12" s="49" t="inlineStr">
        <is>
          <t>9.1</t>
        </is>
      </c>
      <c r="Q12" s="47" t="inlineStr">
        <is>
          <t>-</t>
        </is>
      </c>
      <c r="R12" s="47" t="inlineStr">
        <is>
          <t>-</t>
        </is>
      </c>
      <c r="S12" s="47" t="inlineStr">
        <is>
          <t>-</t>
        </is>
      </c>
      <c r="T12" s="47" t="inlineStr">
        <is>
          <t>-</t>
        </is>
      </c>
      <c r="U12" s="47" t="inlineStr">
        <is>
          <t>-</t>
        </is>
      </c>
      <c r="V12" s="47" t="inlineStr">
        <is>
          <t>-</t>
        </is>
      </c>
      <c r="W12" s="47" t="inlineStr">
        <is>
          <t>-</t>
        </is>
      </c>
      <c r="X12" s="47" t="inlineStr">
        <is>
          <t>-</t>
        </is>
      </c>
      <c r="Y12" s="47" t="inlineStr">
        <is>
          <t>-</t>
        </is>
      </c>
      <c r="Z12" s="47" t="inlineStr">
        <is>
          <t>-</t>
        </is>
      </c>
      <c r="AA12" s="51" t="inlineStr">
        <is>
          <t>100.0%</t>
        </is>
      </c>
      <c r="AB12" s="52" t="inlineStr">
        <is>
          <t>2.18</t>
        </is>
      </c>
    </row>
    <row r="13" ht="18" customHeight="1">
      <c r="A13" s="53" t="n">
        <v>4</v>
      </c>
      <c r="B13" s="54" t="inlineStr">
        <is>
          <t>5 SAINS GUNAAN</t>
        </is>
      </c>
      <c r="C13" s="55" t="n">
        <v>23</v>
      </c>
      <c r="D13" s="55" t="n">
        <v>23</v>
      </c>
      <c r="E13" s="56" t="inlineStr">
        <is>
          <t>-</t>
        </is>
      </c>
      <c r="F13" s="56" t="inlineStr">
        <is>
          <t>-</t>
        </is>
      </c>
      <c r="G13" s="56" t="inlineStr">
        <is>
          <t>-</t>
        </is>
      </c>
      <c r="H13" s="56" t="inlineStr">
        <is>
          <t>-</t>
        </is>
      </c>
      <c r="I13" s="57" t="inlineStr">
        <is>
          <t>9</t>
        </is>
      </c>
      <c r="J13" s="57" t="inlineStr">
        <is>
          <t>39.1</t>
        </is>
      </c>
      <c r="K13" s="58" t="inlineStr">
        <is>
          <t>2</t>
        </is>
      </c>
      <c r="L13" s="58" t="inlineStr">
        <is>
          <t>8.7</t>
        </is>
      </c>
      <c r="M13" s="58" t="inlineStr">
        <is>
          <t>5</t>
        </is>
      </c>
      <c r="N13" s="58" t="inlineStr">
        <is>
          <t>21.7</t>
        </is>
      </c>
      <c r="O13" s="58" t="inlineStr">
        <is>
          <t>4</t>
        </is>
      </c>
      <c r="P13" s="58" t="inlineStr">
        <is>
          <t>17.4</t>
        </is>
      </c>
      <c r="Q13" s="59" t="inlineStr">
        <is>
          <t>1</t>
        </is>
      </c>
      <c r="R13" s="59" t="inlineStr">
        <is>
          <t>4.3</t>
        </is>
      </c>
      <c r="S13" s="60" t="inlineStr">
        <is>
          <t>1</t>
        </is>
      </c>
      <c r="T13" s="60" t="inlineStr">
        <is>
          <t>4.3</t>
        </is>
      </c>
      <c r="U13" s="60" t="inlineStr">
        <is>
          <t>1</t>
        </is>
      </c>
      <c r="V13" s="60" t="inlineStr">
        <is>
          <t>4.3</t>
        </is>
      </c>
      <c r="W13" s="56" t="inlineStr">
        <is>
          <t>-</t>
        </is>
      </c>
      <c r="X13" s="56" t="inlineStr">
        <is>
          <t>-</t>
        </is>
      </c>
      <c r="Y13" s="56" t="inlineStr">
        <is>
          <t>-</t>
        </is>
      </c>
      <c r="Z13" s="56" t="inlineStr">
        <is>
          <t>-</t>
        </is>
      </c>
      <c r="AA13" s="61" t="inlineStr">
        <is>
          <t>95.7%</t>
        </is>
      </c>
      <c r="AB13" s="62" t="inlineStr">
        <is>
          <t>3.70</t>
        </is>
      </c>
    </row>
    <row r="14" ht="18" customHeight="1">
      <c r="A14" s="44" t="n">
        <v>5</v>
      </c>
      <c r="B14" s="45" t="inlineStr">
        <is>
          <t>5 SENI</t>
        </is>
      </c>
      <c r="C14" s="46" t="n">
        <v>20</v>
      </c>
      <c r="D14" s="46" t="n">
        <v>16</v>
      </c>
      <c r="E14" s="47" t="inlineStr">
        <is>
          <t>-</t>
        </is>
      </c>
      <c r="F14" s="47" t="inlineStr">
        <is>
          <t>-</t>
        </is>
      </c>
      <c r="G14" s="48" t="inlineStr">
        <is>
          <t>1</t>
        </is>
      </c>
      <c r="H14" s="48" t="inlineStr">
        <is>
          <t>5.0</t>
        </is>
      </c>
      <c r="I14" s="48" t="inlineStr">
        <is>
          <t>1</t>
        </is>
      </c>
      <c r="J14" s="48" t="inlineStr">
        <is>
          <t>5.0</t>
        </is>
      </c>
      <c r="K14" s="49" t="inlineStr">
        <is>
          <t>1</t>
        </is>
      </c>
      <c r="L14" s="49" t="inlineStr">
        <is>
          <t>5.0</t>
        </is>
      </c>
      <c r="M14" s="49" t="inlineStr">
        <is>
          <t>1</t>
        </is>
      </c>
      <c r="N14" s="49" t="inlineStr">
        <is>
          <t>5.0</t>
        </is>
      </c>
      <c r="O14" s="49" t="inlineStr">
        <is>
          <t>1</t>
        </is>
      </c>
      <c r="P14" s="49" t="inlineStr">
        <is>
          <t>5.0</t>
        </is>
      </c>
      <c r="Q14" s="63" t="inlineStr">
        <is>
          <t>2</t>
        </is>
      </c>
      <c r="R14" s="63" t="inlineStr">
        <is>
          <t>10.0</t>
        </is>
      </c>
      <c r="S14" s="50" t="inlineStr">
        <is>
          <t>1</t>
        </is>
      </c>
      <c r="T14" s="50" t="inlineStr">
        <is>
          <t>5.0</t>
        </is>
      </c>
      <c r="U14" s="50" t="inlineStr">
        <is>
          <t>3</t>
        </is>
      </c>
      <c r="V14" s="50" t="inlineStr">
        <is>
          <t>15.0</t>
        </is>
      </c>
      <c r="W14" s="50" t="inlineStr">
        <is>
          <t>5</t>
        </is>
      </c>
      <c r="X14" s="50" t="inlineStr">
        <is>
          <t>25.0</t>
        </is>
      </c>
      <c r="Y14" s="50" t="inlineStr">
        <is>
          <t>4</t>
        </is>
      </c>
      <c r="Z14" s="50" t="inlineStr">
        <is>
          <t>20.0</t>
        </is>
      </c>
      <c r="AA14" s="64" t="inlineStr">
        <is>
          <t>25.0%</t>
        </is>
      </c>
      <c r="AB14" s="76" t="inlineStr">
        <is>
          <t>6.44</t>
        </is>
      </c>
    </row>
    <row r="15" ht="20" customHeight="1">
      <c r="A15" s="30" t="inlineStr">
        <is>
          <t>JUMLAH / GP</t>
        </is>
      </c>
      <c r="C15" s="65" t="n">
        <v>98</v>
      </c>
      <c r="D15" s="65" t="n">
        <v>93</v>
      </c>
      <c r="E15" s="67" t="inlineStr">
        <is>
          <t>6</t>
        </is>
      </c>
      <c r="F15" s="67" t="inlineStr">
        <is>
          <t>6.1</t>
        </is>
      </c>
      <c r="G15" s="67" t="inlineStr">
        <is>
          <t>12</t>
        </is>
      </c>
      <c r="H15" s="67" t="inlineStr">
        <is>
          <t>12.2</t>
        </is>
      </c>
      <c r="I15" s="67" t="inlineStr">
        <is>
          <t>25</t>
        </is>
      </c>
      <c r="J15" s="67" t="inlineStr">
        <is>
          <t>25.5</t>
        </is>
      </c>
      <c r="K15" s="68" t="inlineStr">
        <is>
          <t>10</t>
        </is>
      </c>
      <c r="L15" s="68" t="inlineStr">
        <is>
          <t>10.2</t>
        </is>
      </c>
      <c r="M15" s="68" t="inlineStr">
        <is>
          <t>12</t>
        </is>
      </c>
      <c r="N15" s="68" t="inlineStr">
        <is>
          <t>12.2</t>
        </is>
      </c>
      <c r="O15" s="68" t="inlineStr">
        <is>
          <t>10</t>
        </is>
      </c>
      <c r="P15" s="68" t="inlineStr">
        <is>
          <t>10.2</t>
        </is>
      </c>
      <c r="Q15" s="69" t="inlineStr">
        <is>
          <t>5</t>
        </is>
      </c>
      <c r="R15" s="69" t="inlineStr">
        <is>
          <t>5.1</t>
        </is>
      </c>
      <c r="S15" s="70" t="inlineStr">
        <is>
          <t>3</t>
        </is>
      </c>
      <c r="T15" s="70" t="inlineStr">
        <is>
          <t>3.1</t>
        </is>
      </c>
      <c r="U15" s="70" t="inlineStr">
        <is>
          <t>5</t>
        </is>
      </c>
      <c r="V15" s="70" t="inlineStr">
        <is>
          <t>5.1</t>
        </is>
      </c>
      <c r="W15" s="70" t="inlineStr">
        <is>
          <t>5</t>
        </is>
      </c>
      <c r="X15" s="70" t="inlineStr">
        <is>
          <t>5.1</t>
        </is>
      </c>
      <c r="Y15" s="70" t="inlineStr">
        <is>
          <t>5</t>
        </is>
      </c>
      <c r="Z15" s="70" t="inlineStr">
        <is>
          <t>5.1</t>
        </is>
      </c>
      <c r="AA15" s="67" t="inlineStr">
        <is>
          <t>83.87%</t>
        </is>
      </c>
      <c r="AB15" s="68" t="inlineStr">
        <is>
          <t>3.51</t>
        </is>
      </c>
    </row>
    <row r="17" ht="22" customHeight="1">
      <c r="A17" s="30" t="inlineStr">
        <is>
          <t>STATUS PENCAPAIAN</t>
        </is>
      </c>
      <c r="E17" s="15" t="inlineStr">
        <is>
          <t>⚠️ SEDERHANA   |   GP: 3.51   |   % LULUS: 83.87%</t>
        </is>
      </c>
    </row>
    <row r="19" ht="15" customHeight="1">
      <c r="A19" s="71" t="inlineStr">
        <is>
          <t>🏆 CEMERLANG  GP ≤ 2.0</t>
        </is>
      </c>
      <c r="F19" s="72" t="inlineStr">
        <is>
          <t>✅ BAIK  GP 2.01–3.00</t>
        </is>
      </c>
      <c r="K19" s="73" t="inlineStr">
        <is>
          <t>⚠️ SEDERHANA  GP 3.01–5.00</t>
        </is>
      </c>
      <c r="P19" s="74" t="inlineStr">
        <is>
          <t>⛔ LEMAH  GP 5.01–7.00</t>
        </is>
      </c>
      <c r="U19" s="75" t="inlineStr">
        <is>
          <t>🚨 KRITIKAL  GP &gt; 7.00</t>
        </is>
      </c>
    </row>
    <row r="21">
      <c r="AF21" t="inlineStr">
        <is>
          <t>KELAS</t>
        </is>
      </c>
      <c r="AG21" t="inlineStr">
        <is>
          <t>% LULUS</t>
        </is>
      </c>
      <c r="AH21" t="inlineStr">
        <is>
          <t>GP</t>
        </is>
      </c>
      <c r="AI21" t="inlineStr">
        <is>
          <t>A+</t>
        </is>
      </c>
      <c r="AJ21" t="inlineStr">
        <is>
          <t>A</t>
        </is>
      </c>
      <c r="AK21" t="inlineStr">
        <is>
          <t>A-</t>
        </is>
      </c>
      <c r="AL21" t="inlineStr">
        <is>
          <t>B+</t>
        </is>
      </c>
      <c r="AM21" t="inlineStr">
        <is>
          <t>B</t>
        </is>
      </c>
      <c r="AN21" t="inlineStr">
        <is>
          <t>C+</t>
        </is>
      </c>
      <c r="AO21" t="inlineStr">
        <is>
          <t>C</t>
        </is>
      </c>
      <c r="AP21" t="inlineStr">
        <is>
          <t>D</t>
        </is>
      </c>
      <c r="AQ21" t="inlineStr">
        <is>
          <t>E</t>
        </is>
      </c>
      <c r="AR21" t="inlineStr">
        <is>
          <t>G</t>
        </is>
      </c>
      <c r="AS21" t="inlineStr">
        <is>
          <t>TH</t>
        </is>
      </c>
    </row>
    <row r="22">
      <c r="AF22" t="inlineStr">
        <is>
          <t>5 AKAUN</t>
        </is>
      </c>
      <c r="AG22" t="n">
        <v>100</v>
      </c>
      <c r="AH22" t="n">
        <v>1.96</v>
      </c>
      <c r="AI22" t="n">
        <v>5</v>
      </c>
      <c r="AJ22" t="n">
        <v>7</v>
      </c>
      <c r="AK22" t="n">
        <v>5</v>
      </c>
      <c r="AL22" t="n">
        <v>2</v>
      </c>
      <c r="AM22" t="n">
        <v>3</v>
      </c>
      <c r="AN22" t="n">
        <v>1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</row>
    <row r="23">
      <c r="AF23" t="inlineStr">
        <is>
          <t>5 EKONOMI</t>
        </is>
      </c>
      <c r="AG23" t="n">
        <v>89.5</v>
      </c>
      <c r="AH23" t="n">
        <v>3.53</v>
      </c>
      <c r="AI23" t="n">
        <v>0</v>
      </c>
      <c r="AJ23" t="n">
        <v>2</v>
      </c>
      <c r="AK23" t="n">
        <v>5</v>
      </c>
      <c r="AL23" t="n">
        <v>4</v>
      </c>
      <c r="AM23" t="n">
        <v>2</v>
      </c>
      <c r="AN23" t="n">
        <v>3</v>
      </c>
      <c r="AO23" t="n">
        <v>2</v>
      </c>
      <c r="AP23" t="n">
        <v>0</v>
      </c>
      <c r="AQ23" t="n">
        <v>1</v>
      </c>
      <c r="AR23" t="n">
        <v>0</v>
      </c>
      <c r="AS23" t="n">
        <v>1</v>
      </c>
    </row>
    <row r="24">
      <c r="AF24" t="inlineStr">
        <is>
          <t>5 SAINS</t>
        </is>
      </c>
      <c r="AG24" t="n">
        <v>100</v>
      </c>
      <c r="AH24" t="n">
        <v>2.18</v>
      </c>
      <c r="AI24" t="n">
        <v>1</v>
      </c>
      <c r="AJ24" t="n">
        <v>2</v>
      </c>
      <c r="AK24" t="n">
        <v>5</v>
      </c>
      <c r="AL24" t="n">
        <v>1</v>
      </c>
      <c r="AM24" t="n">
        <v>1</v>
      </c>
      <c r="AN24" t="n">
        <v>1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</row>
    <row r="25">
      <c r="AF25" t="inlineStr">
        <is>
          <t>5 SAINS GUNAAN</t>
        </is>
      </c>
      <c r="AG25" t="n">
        <v>95.7</v>
      </c>
      <c r="AH25" t="n">
        <v>3.7</v>
      </c>
      <c r="AI25" t="n">
        <v>0</v>
      </c>
      <c r="AJ25" t="n">
        <v>0</v>
      </c>
      <c r="AK25" t="n">
        <v>9</v>
      </c>
      <c r="AL25" t="n">
        <v>2</v>
      </c>
      <c r="AM25" t="n">
        <v>5</v>
      </c>
      <c r="AN25" t="n">
        <v>4</v>
      </c>
      <c r="AO25" t="n">
        <v>1</v>
      </c>
      <c r="AP25" t="n">
        <v>1</v>
      </c>
      <c r="AQ25" t="n">
        <v>1</v>
      </c>
      <c r="AR25" t="n">
        <v>0</v>
      </c>
      <c r="AS25" t="n">
        <v>0</v>
      </c>
    </row>
    <row r="26">
      <c r="AF26" t="inlineStr">
        <is>
          <t>5 SENI</t>
        </is>
      </c>
      <c r="AG26" t="n">
        <v>25</v>
      </c>
      <c r="AH26" t="n">
        <v>6.44</v>
      </c>
      <c r="AI26" t="n">
        <v>0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2</v>
      </c>
      <c r="AP26" t="n">
        <v>1</v>
      </c>
      <c r="AQ26" t="n">
        <v>3</v>
      </c>
      <c r="AR26" t="n">
        <v>5</v>
      </c>
      <c r="AS26" t="n">
        <v>4</v>
      </c>
    </row>
  </sheetData>
  <mergeCells count="33">
    <mergeCell ref="E17:AB17"/>
    <mergeCell ref="A2:AB2"/>
    <mergeCell ref="A17:D17"/>
    <mergeCell ref="A15:B15"/>
    <mergeCell ref="Q5:V5"/>
    <mergeCell ref="F19:J19"/>
    <mergeCell ref="B8:B9"/>
    <mergeCell ref="Q8:R8"/>
    <mergeCell ref="K8:P8"/>
    <mergeCell ref="Q6:V6"/>
    <mergeCell ref="AB8:AB9"/>
    <mergeCell ref="L5:P5"/>
    <mergeCell ref="G6:K6"/>
    <mergeCell ref="A8:A9"/>
    <mergeCell ref="C8:C9"/>
    <mergeCell ref="S8:V8"/>
    <mergeCell ref="D8:D9"/>
    <mergeCell ref="A1:AB1"/>
    <mergeCell ref="G5:K5"/>
    <mergeCell ref="P19:T19"/>
    <mergeCell ref="W8:X8"/>
    <mergeCell ref="B6:F6"/>
    <mergeCell ref="W6:AB6"/>
    <mergeCell ref="AA8:AA9"/>
    <mergeCell ref="L6:P6"/>
    <mergeCell ref="B5:F5"/>
    <mergeCell ref="A19:E19"/>
    <mergeCell ref="W5:AB5"/>
    <mergeCell ref="E8:J8"/>
    <mergeCell ref="U19:Y19"/>
    <mergeCell ref="K19:O19"/>
    <mergeCell ref="Y8:Z8"/>
    <mergeCell ref="A3:AB3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26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8" customWidth="1" min="3" max="3"/>
    <col width="8" customWidth="1" min="4" max="4"/>
    <col width="5" customWidth="1" min="5" max="5"/>
    <col width="6" customWidth="1" min="6" max="6"/>
    <col width="5" customWidth="1" min="7" max="7"/>
    <col width="6" customWidth="1" min="8" max="8"/>
    <col width="5" customWidth="1" min="9" max="9"/>
    <col width="6" customWidth="1" min="10" max="10"/>
    <col width="5" customWidth="1" min="11" max="11"/>
    <col width="6" customWidth="1" min="12" max="12"/>
    <col width="5" customWidth="1" min="13" max="13"/>
    <col width="6" customWidth="1" min="14" max="14"/>
    <col width="5" customWidth="1" min="15" max="15"/>
    <col width="6" customWidth="1" min="16" max="16"/>
    <col width="5" customWidth="1" min="17" max="17"/>
    <col width="6" customWidth="1" min="18" max="18"/>
    <col width="5" customWidth="1" min="19" max="19"/>
    <col width="6" customWidth="1" min="20" max="20"/>
    <col width="5" customWidth="1" min="21" max="21"/>
    <col width="6" customWidth="1" min="22" max="22"/>
    <col width="5" customWidth="1" min="23" max="23"/>
    <col width="6" customWidth="1" min="24" max="24"/>
    <col width="5" customWidth="1" min="25" max="25"/>
    <col width="6" customWidth="1" min="26" max="26"/>
    <col width="10" customWidth="1" min="27" max="27"/>
    <col width="8" customWidth="1" min="28" max="28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</cols>
  <sheetData>
    <row r="1" ht="28" customHeight="1">
      <c r="A1" s="23" t="inlineStr">
        <is>
          <t>SEKOLAH MENENGAH KEBANGSAAN KELANA JAYA</t>
        </is>
      </c>
    </row>
    <row r="2" ht="20" customHeight="1">
      <c r="A2" s="24" t="inlineStr">
        <is>
          <t>ANALISIS PEPERIKSAAN PERTENGAHAN TAHUN 2026 — TINGKATAN 5</t>
        </is>
      </c>
    </row>
    <row r="3" ht="24" customHeight="1">
      <c r="A3" s="25" t="inlineStr">
        <is>
          <t>1449  MATEMATIK</t>
        </is>
      </c>
    </row>
    <row r="5" ht="16" customHeight="1">
      <c r="B5" s="26" t="inlineStr">
        <is>
          <t>JLH DAFTAR</t>
        </is>
      </c>
      <c r="G5" s="26" t="inlineStr">
        <is>
          <t>JLH HADIR</t>
        </is>
      </c>
      <c r="L5" s="26" t="inlineStr">
        <is>
          <t>% LULUS</t>
        </is>
      </c>
      <c r="Q5" s="26" t="inlineStr">
        <is>
          <t>GRED PURATA (GP)</t>
        </is>
      </c>
      <c r="W5" s="26" t="inlineStr">
        <is>
          <t>STATUS</t>
        </is>
      </c>
    </row>
    <row r="6" ht="22" customHeight="1">
      <c r="B6" s="27" t="n">
        <v>98</v>
      </c>
      <c r="G6" s="27" t="n">
        <v>90</v>
      </c>
      <c r="L6" s="77" t="inlineStr">
        <is>
          <t>1.11%</t>
        </is>
      </c>
      <c r="Q6" s="77" t="inlineStr">
        <is>
          <t>8.47</t>
        </is>
      </c>
      <c r="W6" s="77" t="inlineStr">
        <is>
          <t>🚨 KRITIKAL</t>
        </is>
      </c>
    </row>
    <row r="8" ht="18" customHeight="1">
      <c r="A8" s="30" t="inlineStr">
        <is>
          <t>BIL</t>
        </is>
      </c>
      <c r="B8" s="30" t="inlineStr">
        <is>
          <t>KELAS</t>
        </is>
      </c>
      <c r="C8" s="30" t="inlineStr">
        <is>
          <t>DAFTAR</t>
        </is>
      </c>
      <c r="D8" s="30" t="inlineStr">
        <is>
          <t>HADIR</t>
        </is>
      </c>
      <c r="E8" s="31" t="inlineStr">
        <is>
          <t>CEMERLANG</t>
        </is>
      </c>
      <c r="K8" s="32" t="inlineStr">
        <is>
          <t>SEDERHANA</t>
        </is>
      </c>
      <c r="Q8" s="33" t="inlineStr">
        <is>
          <t>LULUS</t>
        </is>
      </c>
      <c r="S8" s="34" t="inlineStr">
        <is>
          <t>GAGAL</t>
        </is>
      </c>
      <c r="W8" s="35" t="inlineStr">
        <is>
          <t>GAGAL (G)</t>
        </is>
      </c>
      <c r="Y8" s="36" t="inlineStr">
        <is>
          <t>TH</t>
        </is>
      </c>
      <c r="AA8" s="37" t="inlineStr">
        <is>
          <t>% LULUS</t>
        </is>
      </c>
      <c r="AB8" s="30" t="inlineStr">
        <is>
          <t>GP</t>
        </is>
      </c>
    </row>
    <row r="9" ht="15" customHeight="1">
      <c r="E9" s="38" t="inlineStr">
        <is>
          <t>A+</t>
        </is>
      </c>
      <c r="F9" s="38" t="inlineStr">
        <is>
          <t>%</t>
        </is>
      </c>
      <c r="G9" s="38" t="inlineStr">
        <is>
          <t>A</t>
        </is>
      </c>
      <c r="H9" s="38" t="inlineStr">
        <is>
          <t>%</t>
        </is>
      </c>
      <c r="I9" s="38" t="inlineStr">
        <is>
          <t>A-</t>
        </is>
      </c>
      <c r="J9" s="38" t="inlineStr">
        <is>
          <t>%</t>
        </is>
      </c>
      <c r="K9" s="39" t="inlineStr">
        <is>
          <t>B+</t>
        </is>
      </c>
      <c r="L9" s="39" t="inlineStr">
        <is>
          <t>%</t>
        </is>
      </c>
      <c r="M9" s="39" t="inlineStr">
        <is>
          <t>B</t>
        </is>
      </c>
      <c r="N9" s="39" t="inlineStr">
        <is>
          <t>%</t>
        </is>
      </c>
      <c r="O9" s="39" t="inlineStr">
        <is>
          <t>C+</t>
        </is>
      </c>
      <c r="P9" s="39" t="inlineStr">
        <is>
          <t>%</t>
        </is>
      </c>
      <c r="Q9" s="40" t="inlineStr">
        <is>
          <t>C</t>
        </is>
      </c>
      <c r="R9" s="40" t="inlineStr">
        <is>
          <t>%</t>
        </is>
      </c>
      <c r="S9" s="41" t="inlineStr">
        <is>
          <t>D</t>
        </is>
      </c>
      <c r="T9" s="41" t="inlineStr">
        <is>
          <t>%</t>
        </is>
      </c>
      <c r="U9" s="41" t="inlineStr">
        <is>
          <t>E</t>
        </is>
      </c>
      <c r="V9" s="41" t="inlineStr">
        <is>
          <t>%</t>
        </is>
      </c>
      <c r="W9" s="42" t="inlineStr">
        <is>
          <t>G</t>
        </is>
      </c>
      <c r="X9" s="42" t="inlineStr">
        <is>
          <t>%</t>
        </is>
      </c>
      <c r="Y9" s="43" t="inlineStr">
        <is>
          <t>TH</t>
        </is>
      </c>
      <c r="Z9" s="43" t="inlineStr">
        <is>
          <t>%</t>
        </is>
      </c>
    </row>
    <row r="10" ht="18" customHeight="1">
      <c r="A10" s="44" t="n">
        <v>1</v>
      </c>
      <c r="B10" s="45" t="inlineStr">
        <is>
          <t>5 AKAUN</t>
        </is>
      </c>
      <c r="C10" s="46" t="n">
        <v>24</v>
      </c>
      <c r="D10" s="46" t="n">
        <v>24</v>
      </c>
      <c r="E10" s="47" t="inlineStr">
        <is>
          <t>-</t>
        </is>
      </c>
      <c r="F10" s="47" t="inlineStr">
        <is>
          <t>-</t>
        </is>
      </c>
      <c r="G10" s="47" t="inlineStr">
        <is>
          <t>-</t>
        </is>
      </c>
      <c r="H10" s="47" t="inlineStr">
        <is>
          <t>-</t>
        </is>
      </c>
      <c r="I10" s="48" t="inlineStr">
        <is>
          <t>1</t>
        </is>
      </c>
      <c r="J10" s="48" t="inlineStr">
        <is>
          <t>4.2</t>
        </is>
      </c>
      <c r="K10" s="47" t="inlineStr">
        <is>
          <t>-</t>
        </is>
      </c>
      <c r="L10" s="47" t="inlineStr">
        <is>
          <t>-</t>
        </is>
      </c>
      <c r="M10" s="49" t="inlineStr">
        <is>
          <t>1</t>
        </is>
      </c>
      <c r="N10" s="49" t="inlineStr">
        <is>
          <t>4.2</t>
        </is>
      </c>
      <c r="O10" s="49" t="inlineStr">
        <is>
          <t>1</t>
        </is>
      </c>
      <c r="P10" s="49" t="inlineStr">
        <is>
          <t>4.2</t>
        </is>
      </c>
      <c r="Q10" s="63" t="inlineStr">
        <is>
          <t>3</t>
        </is>
      </c>
      <c r="R10" s="63" t="inlineStr">
        <is>
          <t>12.5</t>
        </is>
      </c>
      <c r="S10" s="47" t="inlineStr">
        <is>
          <t>-</t>
        </is>
      </c>
      <c r="T10" s="47" t="inlineStr">
        <is>
          <t>-</t>
        </is>
      </c>
      <c r="U10" s="50" t="inlineStr">
        <is>
          <t>3</t>
        </is>
      </c>
      <c r="V10" s="50" t="inlineStr">
        <is>
          <t>12.5</t>
        </is>
      </c>
      <c r="W10" s="50" t="inlineStr">
        <is>
          <t>15</t>
        </is>
      </c>
      <c r="X10" s="50" t="inlineStr">
        <is>
          <t>62.5</t>
        </is>
      </c>
      <c r="Y10" s="47" t="inlineStr">
        <is>
          <t>-</t>
        </is>
      </c>
      <c r="Z10" s="47" t="inlineStr">
        <is>
          <t>-</t>
        </is>
      </c>
      <c r="AA10" s="64" t="inlineStr">
        <is>
          <t>25.0%</t>
        </is>
      </c>
      <c r="AB10" s="64" t="inlineStr">
        <is>
          <t>7.83</t>
        </is>
      </c>
    </row>
    <row r="11" ht="18" customHeight="1">
      <c r="A11" s="53" t="n">
        <v>2</v>
      </c>
      <c r="B11" s="54" t="inlineStr">
        <is>
          <t>5 EKONOMI</t>
        </is>
      </c>
      <c r="C11" s="55" t="n">
        <v>20</v>
      </c>
      <c r="D11" s="55" t="n">
        <v>17</v>
      </c>
      <c r="E11" s="56" t="inlineStr">
        <is>
          <t>-</t>
        </is>
      </c>
      <c r="F11" s="56" t="inlineStr">
        <is>
          <t>-</t>
        </is>
      </c>
      <c r="G11" s="56" t="inlineStr">
        <is>
          <t>-</t>
        </is>
      </c>
      <c r="H11" s="56" t="inlineStr">
        <is>
          <t>-</t>
        </is>
      </c>
      <c r="I11" s="56" t="inlineStr">
        <is>
          <t>-</t>
        </is>
      </c>
      <c r="J11" s="56" t="inlineStr">
        <is>
          <t>-</t>
        </is>
      </c>
      <c r="K11" s="56" t="inlineStr">
        <is>
          <t>-</t>
        </is>
      </c>
      <c r="L11" s="56" t="inlineStr">
        <is>
          <t>-</t>
        </is>
      </c>
      <c r="M11" s="56" t="inlineStr">
        <is>
          <t>-</t>
        </is>
      </c>
      <c r="N11" s="56" t="inlineStr">
        <is>
          <t>-</t>
        </is>
      </c>
      <c r="O11" s="56" t="inlineStr">
        <is>
          <t>-</t>
        </is>
      </c>
      <c r="P11" s="56" t="inlineStr">
        <is>
          <t>-</t>
        </is>
      </c>
      <c r="Q11" s="59" t="inlineStr">
        <is>
          <t>1</t>
        </is>
      </c>
      <c r="R11" s="59" t="inlineStr">
        <is>
          <t>5.0</t>
        </is>
      </c>
      <c r="S11" s="56" t="inlineStr">
        <is>
          <t>-</t>
        </is>
      </c>
      <c r="T11" s="56" t="inlineStr">
        <is>
          <t>-</t>
        </is>
      </c>
      <c r="U11" s="56" t="inlineStr">
        <is>
          <t>-</t>
        </is>
      </c>
      <c r="V11" s="56" t="inlineStr">
        <is>
          <t>-</t>
        </is>
      </c>
      <c r="W11" s="60" t="inlineStr">
        <is>
          <t>16</t>
        </is>
      </c>
      <c r="X11" s="60" t="inlineStr">
        <is>
          <t>80.0</t>
        </is>
      </c>
      <c r="Y11" s="60" t="inlineStr">
        <is>
          <t>3</t>
        </is>
      </c>
      <c r="Z11" s="60" t="inlineStr">
        <is>
          <t>15.0</t>
        </is>
      </c>
      <c r="AA11" s="78" t="inlineStr">
        <is>
          <t>0.0%</t>
        </is>
      </c>
      <c r="AB11" s="78" t="inlineStr">
        <is>
          <t>8.82</t>
        </is>
      </c>
    </row>
    <row r="12" ht="18" customHeight="1">
      <c r="A12" s="44" t="n">
        <v>3</v>
      </c>
      <c r="B12" s="45" t="inlineStr">
        <is>
          <t>5 SAINS</t>
        </is>
      </c>
      <c r="C12" s="46" t="n">
        <v>11</v>
      </c>
      <c r="D12" s="46" t="n">
        <v>9</v>
      </c>
      <c r="E12" s="47" t="inlineStr">
        <is>
          <t>-</t>
        </is>
      </c>
      <c r="F12" s="47" t="inlineStr">
        <is>
          <t>-</t>
        </is>
      </c>
      <c r="G12" s="47" t="inlineStr">
        <is>
          <t>-</t>
        </is>
      </c>
      <c r="H12" s="47" t="inlineStr">
        <is>
          <t>-</t>
        </is>
      </c>
      <c r="I12" s="47" t="inlineStr">
        <is>
          <t>-</t>
        </is>
      </c>
      <c r="J12" s="47" t="inlineStr">
        <is>
          <t>-</t>
        </is>
      </c>
      <c r="K12" s="49" t="inlineStr">
        <is>
          <t>1</t>
        </is>
      </c>
      <c r="L12" s="49" t="inlineStr">
        <is>
          <t>9.1</t>
        </is>
      </c>
      <c r="M12" s="49" t="inlineStr">
        <is>
          <t>1</t>
        </is>
      </c>
      <c r="N12" s="49" t="inlineStr">
        <is>
          <t>9.1</t>
        </is>
      </c>
      <c r="O12" s="47" t="inlineStr">
        <is>
          <t>-</t>
        </is>
      </c>
      <c r="P12" s="47" t="inlineStr">
        <is>
          <t>-</t>
        </is>
      </c>
      <c r="Q12" s="47" t="inlineStr">
        <is>
          <t>-</t>
        </is>
      </c>
      <c r="R12" s="47" t="inlineStr">
        <is>
          <t>-</t>
        </is>
      </c>
      <c r="S12" s="47" t="inlineStr">
        <is>
          <t>-</t>
        </is>
      </c>
      <c r="T12" s="47" t="inlineStr">
        <is>
          <t>-</t>
        </is>
      </c>
      <c r="U12" s="50" t="inlineStr">
        <is>
          <t>6</t>
        </is>
      </c>
      <c r="V12" s="50" t="inlineStr">
        <is>
          <t>54.5</t>
        </is>
      </c>
      <c r="W12" s="50" t="inlineStr">
        <is>
          <t>1</t>
        </is>
      </c>
      <c r="X12" s="50" t="inlineStr">
        <is>
          <t>9.1</t>
        </is>
      </c>
      <c r="Y12" s="50" t="inlineStr">
        <is>
          <t>2</t>
        </is>
      </c>
      <c r="Z12" s="50" t="inlineStr">
        <is>
          <t>18.2</t>
        </is>
      </c>
      <c r="AA12" s="64" t="inlineStr">
        <is>
          <t>0.0%</t>
        </is>
      </c>
      <c r="AB12" s="64" t="inlineStr">
        <is>
          <t>7.11</t>
        </is>
      </c>
    </row>
    <row r="13" ht="18" customHeight="1">
      <c r="A13" s="53" t="n">
        <v>4</v>
      </c>
      <c r="B13" s="54" t="inlineStr">
        <is>
          <t>5 SAINS GUNAAN</t>
        </is>
      </c>
      <c r="C13" s="55" t="n">
        <v>23</v>
      </c>
      <c r="D13" s="55" t="n">
        <v>23</v>
      </c>
      <c r="E13" s="56" t="inlineStr">
        <is>
          <t>-</t>
        </is>
      </c>
      <c r="F13" s="56" t="inlineStr">
        <is>
          <t>-</t>
        </is>
      </c>
      <c r="G13" s="56" t="inlineStr">
        <is>
          <t>-</t>
        </is>
      </c>
      <c r="H13" s="56" t="inlineStr">
        <is>
          <t>-</t>
        </is>
      </c>
      <c r="I13" s="56" t="inlineStr">
        <is>
          <t>-</t>
        </is>
      </c>
      <c r="J13" s="56" t="inlineStr">
        <is>
          <t>-</t>
        </is>
      </c>
      <c r="K13" s="56" t="inlineStr">
        <is>
          <t>-</t>
        </is>
      </c>
      <c r="L13" s="56" t="inlineStr">
        <is>
          <t>-</t>
        </is>
      </c>
      <c r="M13" s="56" t="inlineStr">
        <is>
          <t>-</t>
        </is>
      </c>
      <c r="N13" s="56" t="inlineStr">
        <is>
          <t>-</t>
        </is>
      </c>
      <c r="O13" s="56" t="inlineStr">
        <is>
          <t>-</t>
        </is>
      </c>
      <c r="P13" s="56" t="inlineStr">
        <is>
          <t>-</t>
        </is>
      </c>
      <c r="Q13" s="56" t="inlineStr">
        <is>
          <t>-</t>
        </is>
      </c>
      <c r="R13" s="56" t="inlineStr">
        <is>
          <t>-</t>
        </is>
      </c>
      <c r="S13" s="56" t="inlineStr">
        <is>
          <t>-</t>
        </is>
      </c>
      <c r="T13" s="56" t="inlineStr">
        <is>
          <t>-</t>
        </is>
      </c>
      <c r="U13" s="56" t="inlineStr">
        <is>
          <t>-</t>
        </is>
      </c>
      <c r="V13" s="56" t="inlineStr">
        <is>
          <t>-</t>
        </is>
      </c>
      <c r="W13" s="60" t="inlineStr">
        <is>
          <t>23</t>
        </is>
      </c>
      <c r="X13" s="60" t="inlineStr">
        <is>
          <t>100.0</t>
        </is>
      </c>
      <c r="Y13" s="56" t="inlineStr">
        <is>
          <t>-</t>
        </is>
      </c>
      <c r="Z13" s="56" t="inlineStr">
        <is>
          <t>-</t>
        </is>
      </c>
      <c r="AA13" s="78" t="inlineStr">
        <is>
          <t>0.0%</t>
        </is>
      </c>
      <c r="AB13" s="78" t="inlineStr">
        <is>
          <t>9.00</t>
        </is>
      </c>
    </row>
    <row r="14" ht="18" customHeight="1">
      <c r="A14" s="44" t="n">
        <v>5</v>
      </c>
      <c r="B14" s="45" t="inlineStr">
        <is>
          <t>5 SENI</t>
        </is>
      </c>
      <c r="C14" s="46" t="n">
        <v>20</v>
      </c>
      <c r="D14" s="46" t="n">
        <v>17</v>
      </c>
      <c r="E14" s="47" t="inlineStr">
        <is>
          <t>-</t>
        </is>
      </c>
      <c r="F14" s="47" t="inlineStr">
        <is>
          <t>-</t>
        </is>
      </c>
      <c r="G14" s="47" t="inlineStr">
        <is>
          <t>-</t>
        </is>
      </c>
      <c r="H14" s="47" t="inlineStr">
        <is>
          <t>-</t>
        </is>
      </c>
      <c r="I14" s="47" t="inlineStr">
        <is>
          <t>-</t>
        </is>
      </c>
      <c r="J14" s="47" t="inlineStr">
        <is>
          <t>-</t>
        </is>
      </c>
      <c r="K14" s="47" t="inlineStr">
        <is>
          <t>-</t>
        </is>
      </c>
      <c r="L14" s="47" t="inlineStr">
        <is>
          <t>-</t>
        </is>
      </c>
      <c r="M14" s="47" t="inlineStr">
        <is>
          <t>-</t>
        </is>
      </c>
      <c r="N14" s="47" t="inlineStr">
        <is>
          <t>-</t>
        </is>
      </c>
      <c r="O14" s="47" t="inlineStr">
        <is>
          <t>-</t>
        </is>
      </c>
      <c r="P14" s="47" t="inlineStr">
        <is>
          <t>-</t>
        </is>
      </c>
      <c r="Q14" s="47" t="inlineStr">
        <is>
          <t>-</t>
        </is>
      </c>
      <c r="R14" s="47" t="inlineStr">
        <is>
          <t>-</t>
        </is>
      </c>
      <c r="S14" s="47" t="inlineStr">
        <is>
          <t>-</t>
        </is>
      </c>
      <c r="T14" s="47" t="inlineStr">
        <is>
          <t>-</t>
        </is>
      </c>
      <c r="U14" s="47" t="inlineStr">
        <is>
          <t>-</t>
        </is>
      </c>
      <c r="V14" s="47" t="inlineStr">
        <is>
          <t>-</t>
        </is>
      </c>
      <c r="W14" s="50" t="inlineStr">
        <is>
          <t>17</t>
        </is>
      </c>
      <c r="X14" s="50" t="inlineStr">
        <is>
          <t>85.0</t>
        </is>
      </c>
      <c r="Y14" s="50" t="inlineStr">
        <is>
          <t>3</t>
        </is>
      </c>
      <c r="Z14" s="50" t="inlineStr">
        <is>
          <t>15.0</t>
        </is>
      </c>
      <c r="AA14" s="64" t="inlineStr">
        <is>
          <t>0.0%</t>
        </is>
      </c>
      <c r="AB14" s="64" t="inlineStr">
        <is>
          <t>9.00</t>
        </is>
      </c>
    </row>
    <row r="15" ht="20" customHeight="1">
      <c r="A15" s="30" t="inlineStr">
        <is>
          <t>JUMLAH / GP</t>
        </is>
      </c>
      <c r="C15" s="65" t="n">
        <v>98</v>
      </c>
      <c r="D15" s="65" t="n">
        <v>90</v>
      </c>
      <c r="E15" s="66" t="inlineStr">
        <is>
          <t>-</t>
        </is>
      </c>
      <c r="F15" s="66" t="inlineStr">
        <is>
          <t>-</t>
        </is>
      </c>
      <c r="G15" s="66" t="inlineStr">
        <is>
          <t>-</t>
        </is>
      </c>
      <c r="H15" s="66" t="inlineStr">
        <is>
          <t>-</t>
        </is>
      </c>
      <c r="I15" s="67" t="inlineStr">
        <is>
          <t>1</t>
        </is>
      </c>
      <c r="J15" s="67" t="inlineStr">
        <is>
          <t>1.0</t>
        </is>
      </c>
      <c r="K15" s="68" t="inlineStr">
        <is>
          <t>1</t>
        </is>
      </c>
      <c r="L15" s="68" t="inlineStr">
        <is>
          <t>1.0</t>
        </is>
      </c>
      <c r="M15" s="68" t="inlineStr">
        <is>
          <t>2</t>
        </is>
      </c>
      <c r="N15" s="68" t="inlineStr">
        <is>
          <t>2.0</t>
        </is>
      </c>
      <c r="O15" s="68" t="inlineStr">
        <is>
          <t>1</t>
        </is>
      </c>
      <c r="P15" s="68" t="inlineStr">
        <is>
          <t>1.0</t>
        </is>
      </c>
      <c r="Q15" s="69" t="inlineStr">
        <is>
          <t>4</t>
        </is>
      </c>
      <c r="R15" s="69" t="inlineStr">
        <is>
          <t>4.1</t>
        </is>
      </c>
      <c r="S15" s="66" t="inlineStr">
        <is>
          <t>-</t>
        </is>
      </c>
      <c r="T15" s="66" t="inlineStr">
        <is>
          <t>-</t>
        </is>
      </c>
      <c r="U15" s="70" t="inlineStr">
        <is>
          <t>9</t>
        </is>
      </c>
      <c r="V15" s="70" t="inlineStr">
        <is>
          <t>9.2</t>
        </is>
      </c>
      <c r="W15" s="70" t="inlineStr">
        <is>
          <t>72</t>
        </is>
      </c>
      <c r="X15" s="70" t="inlineStr">
        <is>
          <t>73.5</t>
        </is>
      </c>
      <c r="Y15" s="70" t="inlineStr">
        <is>
          <t>8</t>
        </is>
      </c>
      <c r="Z15" s="70" t="inlineStr">
        <is>
          <t>8.2</t>
        </is>
      </c>
      <c r="AA15" s="70" t="inlineStr">
        <is>
          <t>1.11%</t>
        </is>
      </c>
      <c r="AB15" s="70" t="inlineStr">
        <is>
          <t>8.47</t>
        </is>
      </c>
    </row>
    <row r="17" ht="22" customHeight="1">
      <c r="A17" s="30" t="inlineStr">
        <is>
          <t>STATUS PENCAPAIAN</t>
        </is>
      </c>
      <c r="E17" s="17" t="inlineStr">
        <is>
          <t>🚨 KRITIKAL   |   GP: 8.47   |   % LULUS: 1.11%</t>
        </is>
      </c>
    </row>
    <row r="19" ht="15" customHeight="1">
      <c r="A19" s="71" t="inlineStr">
        <is>
          <t>🏆 CEMERLANG  GP ≤ 2.0</t>
        </is>
      </c>
      <c r="F19" s="72" t="inlineStr">
        <is>
          <t>✅ BAIK  GP 2.01–3.00</t>
        </is>
      </c>
      <c r="K19" s="73" t="inlineStr">
        <is>
          <t>⚠️ SEDERHANA  GP 3.01–5.00</t>
        </is>
      </c>
      <c r="P19" s="74" t="inlineStr">
        <is>
          <t>⛔ LEMAH  GP 5.01–7.00</t>
        </is>
      </c>
      <c r="U19" s="75" t="inlineStr">
        <is>
          <t>🚨 KRITIKAL  GP &gt; 7.00</t>
        </is>
      </c>
    </row>
    <row r="21">
      <c r="AF21" t="inlineStr">
        <is>
          <t>KELAS</t>
        </is>
      </c>
      <c r="AG21" t="inlineStr">
        <is>
          <t>% LULUS</t>
        </is>
      </c>
      <c r="AH21" t="inlineStr">
        <is>
          <t>GP</t>
        </is>
      </c>
      <c r="AI21" t="inlineStr">
        <is>
          <t>A+</t>
        </is>
      </c>
      <c r="AJ21" t="inlineStr">
        <is>
          <t>A</t>
        </is>
      </c>
      <c r="AK21" t="inlineStr">
        <is>
          <t>A-</t>
        </is>
      </c>
      <c r="AL21" t="inlineStr">
        <is>
          <t>B+</t>
        </is>
      </c>
      <c r="AM21" t="inlineStr">
        <is>
          <t>B</t>
        </is>
      </c>
      <c r="AN21" t="inlineStr">
        <is>
          <t>C+</t>
        </is>
      </c>
      <c r="AO21" t="inlineStr">
        <is>
          <t>C</t>
        </is>
      </c>
      <c r="AP21" t="inlineStr">
        <is>
          <t>D</t>
        </is>
      </c>
      <c r="AQ21" t="inlineStr">
        <is>
          <t>E</t>
        </is>
      </c>
      <c r="AR21" t="inlineStr">
        <is>
          <t>G</t>
        </is>
      </c>
      <c r="AS21" t="inlineStr">
        <is>
          <t>TH</t>
        </is>
      </c>
    </row>
    <row r="22">
      <c r="AF22" t="inlineStr">
        <is>
          <t>5 AKAUN</t>
        </is>
      </c>
      <c r="AG22" t="n">
        <v>25</v>
      </c>
      <c r="AH22" t="n">
        <v>7.83</v>
      </c>
      <c r="AI22" t="n">
        <v>0</v>
      </c>
      <c r="AJ22" t="n">
        <v>0</v>
      </c>
      <c r="AK22" t="n">
        <v>1</v>
      </c>
      <c r="AL22" t="n">
        <v>0</v>
      </c>
      <c r="AM22" t="n">
        <v>1</v>
      </c>
      <c r="AN22" t="n">
        <v>1</v>
      </c>
      <c r="AO22" t="n">
        <v>3</v>
      </c>
      <c r="AP22" t="n">
        <v>0</v>
      </c>
      <c r="AQ22" t="n">
        <v>3</v>
      </c>
      <c r="AR22" t="n">
        <v>15</v>
      </c>
      <c r="AS22" t="n">
        <v>0</v>
      </c>
    </row>
    <row r="23">
      <c r="AF23" t="inlineStr">
        <is>
          <t>5 EKONOMI</t>
        </is>
      </c>
      <c r="AG23" t="n">
        <v>0</v>
      </c>
      <c r="AH23" t="n">
        <v>8.82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</v>
      </c>
      <c r="AP23" t="n">
        <v>0</v>
      </c>
      <c r="AQ23" t="n">
        <v>0</v>
      </c>
      <c r="AR23" t="n">
        <v>16</v>
      </c>
      <c r="AS23" t="n">
        <v>3</v>
      </c>
    </row>
    <row r="24">
      <c r="AF24" t="inlineStr">
        <is>
          <t>5 SAINS</t>
        </is>
      </c>
      <c r="AG24" t="n">
        <v>0</v>
      </c>
      <c r="AH24" t="n">
        <v>7.11</v>
      </c>
      <c r="AI24" t="n">
        <v>0</v>
      </c>
      <c r="AJ24" t="n">
        <v>0</v>
      </c>
      <c r="AK24" t="n">
        <v>0</v>
      </c>
      <c r="AL24" t="n">
        <v>1</v>
      </c>
      <c r="AM24" t="n">
        <v>1</v>
      </c>
      <c r="AN24" t="n">
        <v>0</v>
      </c>
      <c r="AO24" t="n">
        <v>0</v>
      </c>
      <c r="AP24" t="n">
        <v>0</v>
      </c>
      <c r="AQ24" t="n">
        <v>6</v>
      </c>
      <c r="AR24" t="n">
        <v>1</v>
      </c>
      <c r="AS24" t="n">
        <v>2</v>
      </c>
    </row>
    <row r="25">
      <c r="AF25" t="inlineStr">
        <is>
          <t>5 SAINS GUNAAN</t>
        </is>
      </c>
      <c r="AG25" t="n">
        <v>0</v>
      </c>
      <c r="AH25" t="n">
        <v>9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23</v>
      </c>
      <c r="AS25" t="n">
        <v>0</v>
      </c>
    </row>
    <row r="26">
      <c r="AF26" t="inlineStr">
        <is>
          <t>5 SENI</t>
        </is>
      </c>
      <c r="AG26" t="n">
        <v>0</v>
      </c>
      <c r="AH26" t="n">
        <v>9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17</v>
      </c>
      <c r="AS26" t="n">
        <v>3</v>
      </c>
    </row>
  </sheetData>
  <mergeCells count="33">
    <mergeCell ref="E17:AB17"/>
    <mergeCell ref="A2:AB2"/>
    <mergeCell ref="A17:D17"/>
    <mergeCell ref="A15:B15"/>
    <mergeCell ref="Q5:V5"/>
    <mergeCell ref="F19:J19"/>
    <mergeCell ref="B8:B9"/>
    <mergeCell ref="Q8:R8"/>
    <mergeCell ref="K8:P8"/>
    <mergeCell ref="Q6:V6"/>
    <mergeCell ref="AB8:AB9"/>
    <mergeCell ref="L5:P5"/>
    <mergeCell ref="G6:K6"/>
    <mergeCell ref="A8:A9"/>
    <mergeCell ref="C8:C9"/>
    <mergeCell ref="S8:V8"/>
    <mergeCell ref="D8:D9"/>
    <mergeCell ref="A1:AB1"/>
    <mergeCell ref="G5:K5"/>
    <mergeCell ref="P19:T19"/>
    <mergeCell ref="W8:X8"/>
    <mergeCell ref="B6:F6"/>
    <mergeCell ref="W6:AB6"/>
    <mergeCell ref="AA8:AA9"/>
    <mergeCell ref="L6:P6"/>
    <mergeCell ref="B5:F5"/>
    <mergeCell ref="A19:E19"/>
    <mergeCell ref="W5:AB5"/>
    <mergeCell ref="E8:J8"/>
    <mergeCell ref="U19:Y19"/>
    <mergeCell ref="K19:O19"/>
    <mergeCell ref="Y8:Z8"/>
    <mergeCell ref="A3:AB3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24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8" customWidth="1" min="3" max="3"/>
    <col width="8" customWidth="1" min="4" max="4"/>
    <col width="5" customWidth="1" min="5" max="5"/>
    <col width="6" customWidth="1" min="6" max="6"/>
    <col width="5" customWidth="1" min="7" max="7"/>
    <col width="6" customWidth="1" min="8" max="8"/>
    <col width="5" customWidth="1" min="9" max="9"/>
    <col width="6" customWidth="1" min="10" max="10"/>
    <col width="5" customWidth="1" min="11" max="11"/>
    <col width="6" customWidth="1" min="12" max="12"/>
    <col width="5" customWidth="1" min="13" max="13"/>
    <col width="6" customWidth="1" min="14" max="14"/>
    <col width="5" customWidth="1" min="15" max="15"/>
    <col width="6" customWidth="1" min="16" max="16"/>
    <col width="5" customWidth="1" min="17" max="17"/>
    <col width="6" customWidth="1" min="18" max="18"/>
    <col width="5" customWidth="1" min="19" max="19"/>
    <col width="6" customWidth="1" min="20" max="20"/>
    <col width="5" customWidth="1" min="21" max="21"/>
    <col width="6" customWidth="1" min="22" max="22"/>
    <col width="5" customWidth="1" min="23" max="23"/>
    <col width="6" customWidth="1" min="24" max="24"/>
    <col width="5" customWidth="1" min="25" max="25"/>
    <col width="6" customWidth="1" min="26" max="26"/>
    <col width="10" customWidth="1" min="27" max="27"/>
    <col width="8" customWidth="1" min="28" max="28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</cols>
  <sheetData>
    <row r="1" ht="28" customHeight="1">
      <c r="A1" s="23" t="inlineStr">
        <is>
          <t>SEKOLAH MENENGAH KEBANGSAAN KELANA JAYA</t>
        </is>
      </c>
    </row>
    <row r="2" ht="20" customHeight="1">
      <c r="A2" s="24" t="inlineStr">
        <is>
          <t>ANALISIS PEPERIKSAAN PERTENGAHAN TAHUN 2026 — TINGKATAN 5</t>
        </is>
      </c>
    </row>
    <row r="3" ht="24" customHeight="1">
      <c r="A3" s="25" t="inlineStr">
        <is>
          <t>1511  SAINS</t>
        </is>
      </c>
    </row>
    <row r="5" ht="16" customHeight="1">
      <c r="B5" s="26" t="inlineStr">
        <is>
          <t>JLH DAFTAR</t>
        </is>
      </c>
      <c r="G5" s="26" t="inlineStr">
        <is>
          <t>JLH HADIR</t>
        </is>
      </c>
      <c r="L5" s="26" t="inlineStr">
        <is>
          <t>% LULUS</t>
        </is>
      </c>
      <c r="Q5" s="26" t="inlineStr">
        <is>
          <t>GRED PURATA (GP)</t>
        </is>
      </c>
      <c r="W5" s="26" t="inlineStr">
        <is>
          <t>STATUS</t>
        </is>
      </c>
    </row>
    <row r="6" ht="22" customHeight="1">
      <c r="B6" s="27" t="n">
        <v>87</v>
      </c>
      <c r="G6" s="27" t="n">
        <v>81</v>
      </c>
      <c r="L6" s="77" t="inlineStr">
        <is>
          <t>35.80%</t>
        </is>
      </c>
      <c r="Q6" s="77" t="inlineStr">
        <is>
          <t>7.37</t>
        </is>
      </c>
      <c r="W6" s="77" t="inlineStr">
        <is>
          <t>🚨 KRITIKAL</t>
        </is>
      </c>
    </row>
    <row r="8" ht="18" customHeight="1">
      <c r="A8" s="30" t="inlineStr">
        <is>
          <t>BIL</t>
        </is>
      </c>
      <c r="B8" s="30" t="inlineStr">
        <is>
          <t>KELAS</t>
        </is>
      </c>
      <c r="C8" s="30" t="inlineStr">
        <is>
          <t>DAFTAR</t>
        </is>
      </c>
      <c r="D8" s="30" t="inlineStr">
        <is>
          <t>HADIR</t>
        </is>
      </c>
      <c r="E8" s="31" t="inlineStr">
        <is>
          <t>CEMERLANG</t>
        </is>
      </c>
      <c r="K8" s="32" t="inlineStr">
        <is>
          <t>SEDERHANA</t>
        </is>
      </c>
      <c r="Q8" s="33" t="inlineStr">
        <is>
          <t>LULUS</t>
        </is>
      </c>
      <c r="S8" s="34" t="inlineStr">
        <is>
          <t>GAGAL</t>
        </is>
      </c>
      <c r="W8" s="35" t="inlineStr">
        <is>
          <t>GAGAL (G)</t>
        </is>
      </c>
      <c r="Y8" s="36" t="inlineStr">
        <is>
          <t>TH</t>
        </is>
      </c>
      <c r="AA8" s="37" t="inlineStr">
        <is>
          <t>% LULUS</t>
        </is>
      </c>
      <c r="AB8" s="30" t="inlineStr">
        <is>
          <t>GP</t>
        </is>
      </c>
    </row>
    <row r="9" ht="15" customHeight="1">
      <c r="E9" s="38" t="inlineStr">
        <is>
          <t>A+</t>
        </is>
      </c>
      <c r="F9" s="38" t="inlineStr">
        <is>
          <t>%</t>
        </is>
      </c>
      <c r="G9" s="38" t="inlineStr">
        <is>
          <t>A</t>
        </is>
      </c>
      <c r="H9" s="38" t="inlineStr">
        <is>
          <t>%</t>
        </is>
      </c>
      <c r="I9" s="38" t="inlineStr">
        <is>
          <t>A-</t>
        </is>
      </c>
      <c r="J9" s="38" t="inlineStr">
        <is>
          <t>%</t>
        </is>
      </c>
      <c r="K9" s="39" t="inlineStr">
        <is>
          <t>B+</t>
        </is>
      </c>
      <c r="L9" s="39" t="inlineStr">
        <is>
          <t>%</t>
        </is>
      </c>
      <c r="M9" s="39" t="inlineStr">
        <is>
          <t>B</t>
        </is>
      </c>
      <c r="N9" s="39" t="inlineStr">
        <is>
          <t>%</t>
        </is>
      </c>
      <c r="O9" s="39" t="inlineStr">
        <is>
          <t>C+</t>
        </is>
      </c>
      <c r="P9" s="39" t="inlineStr">
        <is>
          <t>%</t>
        </is>
      </c>
      <c r="Q9" s="40" t="inlineStr">
        <is>
          <t>C</t>
        </is>
      </c>
      <c r="R9" s="40" t="inlineStr">
        <is>
          <t>%</t>
        </is>
      </c>
      <c r="S9" s="41" t="inlineStr">
        <is>
          <t>D</t>
        </is>
      </c>
      <c r="T9" s="41" t="inlineStr">
        <is>
          <t>%</t>
        </is>
      </c>
      <c r="U9" s="41" t="inlineStr">
        <is>
          <t>E</t>
        </is>
      </c>
      <c r="V9" s="41" t="inlineStr">
        <is>
          <t>%</t>
        </is>
      </c>
      <c r="W9" s="42" t="inlineStr">
        <is>
          <t>G</t>
        </is>
      </c>
      <c r="X9" s="42" t="inlineStr">
        <is>
          <t>%</t>
        </is>
      </c>
      <c r="Y9" s="43" t="inlineStr">
        <is>
          <t>TH</t>
        </is>
      </c>
      <c r="Z9" s="43" t="inlineStr">
        <is>
          <t>%</t>
        </is>
      </c>
    </row>
    <row r="10" ht="18" customHeight="1">
      <c r="A10" s="44" t="n">
        <v>1</v>
      </c>
      <c r="B10" s="45" t="inlineStr">
        <is>
          <t>5 AKAUN</t>
        </is>
      </c>
      <c r="C10" s="46" t="n">
        <v>24</v>
      </c>
      <c r="D10" s="46" t="n">
        <v>24</v>
      </c>
      <c r="E10" s="47" t="inlineStr">
        <is>
          <t>-</t>
        </is>
      </c>
      <c r="F10" s="47" t="inlineStr">
        <is>
          <t>-</t>
        </is>
      </c>
      <c r="G10" s="48" t="inlineStr">
        <is>
          <t>2</t>
        </is>
      </c>
      <c r="H10" s="48" t="inlineStr">
        <is>
          <t>8.3</t>
        </is>
      </c>
      <c r="I10" s="47" t="inlineStr">
        <is>
          <t>-</t>
        </is>
      </c>
      <c r="J10" s="47" t="inlineStr">
        <is>
          <t>-</t>
        </is>
      </c>
      <c r="K10" s="49" t="inlineStr">
        <is>
          <t>1</t>
        </is>
      </c>
      <c r="L10" s="49" t="inlineStr">
        <is>
          <t>4.2</t>
        </is>
      </c>
      <c r="M10" s="49" t="inlineStr">
        <is>
          <t>2</t>
        </is>
      </c>
      <c r="N10" s="49" t="inlineStr">
        <is>
          <t>8.3</t>
        </is>
      </c>
      <c r="O10" s="49" t="inlineStr">
        <is>
          <t>2</t>
        </is>
      </c>
      <c r="P10" s="49" t="inlineStr">
        <is>
          <t>8.3</t>
        </is>
      </c>
      <c r="Q10" s="63" t="inlineStr">
        <is>
          <t>5</t>
        </is>
      </c>
      <c r="R10" s="63" t="inlineStr">
        <is>
          <t>20.8</t>
        </is>
      </c>
      <c r="S10" s="50" t="inlineStr">
        <is>
          <t>5</t>
        </is>
      </c>
      <c r="T10" s="50" t="inlineStr">
        <is>
          <t>20.8</t>
        </is>
      </c>
      <c r="U10" s="50" t="inlineStr">
        <is>
          <t>4</t>
        </is>
      </c>
      <c r="V10" s="50" t="inlineStr">
        <is>
          <t>16.7</t>
        </is>
      </c>
      <c r="W10" s="50" t="inlineStr">
        <is>
          <t>3</t>
        </is>
      </c>
      <c r="X10" s="50" t="inlineStr">
        <is>
          <t>12.5</t>
        </is>
      </c>
      <c r="Y10" s="47" t="inlineStr">
        <is>
          <t>-</t>
        </is>
      </c>
      <c r="Z10" s="47" t="inlineStr">
        <is>
          <t>-</t>
        </is>
      </c>
      <c r="AA10" s="52" t="inlineStr">
        <is>
          <t>70.8%</t>
        </is>
      </c>
      <c r="AB10" s="76" t="inlineStr">
        <is>
          <t>6.13</t>
        </is>
      </c>
    </row>
    <row r="11" ht="18" customHeight="1">
      <c r="A11" s="53" t="n">
        <v>2</v>
      </c>
      <c r="B11" s="54" t="inlineStr">
        <is>
          <t>5 EKONOMI</t>
        </is>
      </c>
      <c r="C11" s="55" t="n">
        <v>20</v>
      </c>
      <c r="D11" s="55" t="n">
        <v>18</v>
      </c>
      <c r="E11" s="56" t="inlineStr">
        <is>
          <t>-</t>
        </is>
      </c>
      <c r="F11" s="56" t="inlineStr">
        <is>
          <t>-</t>
        </is>
      </c>
      <c r="G11" s="56" t="inlineStr">
        <is>
          <t>-</t>
        </is>
      </c>
      <c r="H11" s="56" t="inlineStr">
        <is>
          <t>-</t>
        </is>
      </c>
      <c r="I11" s="56" t="inlineStr">
        <is>
          <t>-</t>
        </is>
      </c>
      <c r="J11" s="56" t="inlineStr">
        <is>
          <t>-</t>
        </is>
      </c>
      <c r="K11" s="56" t="inlineStr">
        <is>
          <t>-</t>
        </is>
      </c>
      <c r="L11" s="56" t="inlineStr">
        <is>
          <t>-</t>
        </is>
      </c>
      <c r="M11" s="56" t="inlineStr">
        <is>
          <t>-</t>
        </is>
      </c>
      <c r="N11" s="56" t="inlineStr">
        <is>
          <t>-</t>
        </is>
      </c>
      <c r="O11" s="58" t="inlineStr">
        <is>
          <t>1</t>
        </is>
      </c>
      <c r="P11" s="58" t="inlineStr">
        <is>
          <t>5.0</t>
        </is>
      </c>
      <c r="Q11" s="59" t="inlineStr">
        <is>
          <t>3</t>
        </is>
      </c>
      <c r="R11" s="59" t="inlineStr">
        <is>
          <t>15.0</t>
        </is>
      </c>
      <c r="S11" s="60" t="inlineStr">
        <is>
          <t>3</t>
        </is>
      </c>
      <c r="T11" s="60" t="inlineStr">
        <is>
          <t>15.0</t>
        </is>
      </c>
      <c r="U11" s="60" t="inlineStr">
        <is>
          <t>6</t>
        </is>
      </c>
      <c r="V11" s="60" t="inlineStr">
        <is>
          <t>30.0</t>
        </is>
      </c>
      <c r="W11" s="60" t="inlineStr">
        <is>
          <t>5</t>
        </is>
      </c>
      <c r="X11" s="60" t="inlineStr">
        <is>
          <t>25.0</t>
        </is>
      </c>
      <c r="Y11" s="60" t="inlineStr">
        <is>
          <t>2</t>
        </is>
      </c>
      <c r="Z11" s="60" t="inlineStr">
        <is>
          <t>10.0</t>
        </is>
      </c>
      <c r="AA11" s="78" t="inlineStr">
        <is>
          <t>27.8%</t>
        </is>
      </c>
      <c r="AB11" s="78" t="inlineStr">
        <is>
          <t>7.61</t>
        </is>
      </c>
    </row>
    <row r="12" ht="18" customHeight="1">
      <c r="A12" s="44" t="n">
        <v>3</v>
      </c>
      <c r="B12" s="45" t="inlineStr">
        <is>
          <t>5 SAINS GUNAAN</t>
        </is>
      </c>
      <c r="C12" s="46" t="n">
        <v>23</v>
      </c>
      <c r="D12" s="46" t="n">
        <v>23</v>
      </c>
      <c r="E12" s="47" t="inlineStr">
        <is>
          <t>-</t>
        </is>
      </c>
      <c r="F12" s="47" t="inlineStr">
        <is>
          <t>-</t>
        </is>
      </c>
      <c r="G12" s="47" t="inlineStr">
        <is>
          <t>-</t>
        </is>
      </c>
      <c r="H12" s="47" t="inlineStr">
        <is>
          <t>-</t>
        </is>
      </c>
      <c r="I12" s="47" t="inlineStr">
        <is>
          <t>-</t>
        </is>
      </c>
      <c r="J12" s="47" t="inlineStr">
        <is>
          <t>-</t>
        </is>
      </c>
      <c r="K12" s="47" t="inlineStr">
        <is>
          <t>-</t>
        </is>
      </c>
      <c r="L12" s="47" t="inlineStr">
        <is>
          <t>-</t>
        </is>
      </c>
      <c r="M12" s="47" t="inlineStr">
        <is>
          <t>-</t>
        </is>
      </c>
      <c r="N12" s="47" t="inlineStr">
        <is>
          <t>-</t>
        </is>
      </c>
      <c r="O12" s="49" t="inlineStr">
        <is>
          <t>2</t>
        </is>
      </c>
      <c r="P12" s="49" t="inlineStr">
        <is>
          <t>8.7</t>
        </is>
      </c>
      <c r="Q12" s="63" t="inlineStr">
        <is>
          <t>3</t>
        </is>
      </c>
      <c r="R12" s="63" t="inlineStr">
        <is>
          <t>13.0</t>
        </is>
      </c>
      <c r="S12" s="50" t="inlineStr">
        <is>
          <t>3</t>
        </is>
      </c>
      <c r="T12" s="50" t="inlineStr">
        <is>
          <t>13.0</t>
        </is>
      </c>
      <c r="U12" s="50" t="inlineStr">
        <is>
          <t>4</t>
        </is>
      </c>
      <c r="V12" s="50" t="inlineStr">
        <is>
          <t>17.4</t>
        </is>
      </c>
      <c r="W12" s="50" t="inlineStr">
        <is>
          <t>11</t>
        </is>
      </c>
      <c r="X12" s="50" t="inlineStr">
        <is>
          <t>47.8</t>
        </is>
      </c>
      <c r="Y12" s="47" t="inlineStr">
        <is>
          <t>-</t>
        </is>
      </c>
      <c r="Z12" s="47" t="inlineStr">
        <is>
          <t>-</t>
        </is>
      </c>
      <c r="AA12" s="64" t="inlineStr">
        <is>
          <t>34.8%</t>
        </is>
      </c>
      <c r="AB12" s="64" t="inlineStr">
        <is>
          <t>7.83</t>
        </is>
      </c>
    </row>
    <row r="13" ht="18" customHeight="1">
      <c r="A13" s="53" t="n">
        <v>4</v>
      </c>
      <c r="B13" s="54" t="inlineStr">
        <is>
          <t>5 SENI</t>
        </is>
      </c>
      <c r="C13" s="55" t="n">
        <v>20</v>
      </c>
      <c r="D13" s="55" t="n">
        <v>16</v>
      </c>
      <c r="E13" s="56" t="inlineStr">
        <is>
          <t>-</t>
        </is>
      </c>
      <c r="F13" s="56" t="inlineStr">
        <is>
          <t>-</t>
        </is>
      </c>
      <c r="G13" s="56" t="inlineStr">
        <is>
          <t>-</t>
        </is>
      </c>
      <c r="H13" s="56" t="inlineStr">
        <is>
          <t>-</t>
        </is>
      </c>
      <c r="I13" s="56" t="inlineStr">
        <is>
          <t>-</t>
        </is>
      </c>
      <c r="J13" s="56" t="inlineStr">
        <is>
          <t>-</t>
        </is>
      </c>
      <c r="K13" s="56" t="inlineStr">
        <is>
          <t>-</t>
        </is>
      </c>
      <c r="L13" s="56" t="inlineStr">
        <is>
          <t>-</t>
        </is>
      </c>
      <c r="M13" s="56" t="inlineStr">
        <is>
          <t>-</t>
        </is>
      </c>
      <c r="N13" s="56" t="inlineStr">
        <is>
          <t>-</t>
        </is>
      </c>
      <c r="O13" s="58" t="inlineStr">
        <is>
          <t>1</t>
        </is>
      </c>
      <c r="P13" s="58" t="inlineStr">
        <is>
          <t>5.0</t>
        </is>
      </c>
      <c r="Q13" s="56" t="inlineStr">
        <is>
          <t>-</t>
        </is>
      </c>
      <c r="R13" s="56" t="inlineStr">
        <is>
          <t>-</t>
        </is>
      </c>
      <c r="S13" s="60" t="inlineStr">
        <is>
          <t>2</t>
        </is>
      </c>
      <c r="T13" s="60" t="inlineStr">
        <is>
          <t>10.0</t>
        </is>
      </c>
      <c r="U13" s="60" t="inlineStr">
        <is>
          <t>3</t>
        </is>
      </c>
      <c r="V13" s="60" t="inlineStr">
        <is>
          <t>15.0</t>
        </is>
      </c>
      <c r="W13" s="60" t="inlineStr">
        <is>
          <t>10</t>
        </is>
      </c>
      <c r="X13" s="60" t="inlineStr">
        <is>
          <t>50.0</t>
        </is>
      </c>
      <c r="Y13" s="60" t="inlineStr">
        <is>
          <t>4</t>
        </is>
      </c>
      <c r="Z13" s="60" t="inlineStr">
        <is>
          <t>20.0</t>
        </is>
      </c>
      <c r="AA13" s="78" t="inlineStr">
        <is>
          <t>0.0%</t>
        </is>
      </c>
      <c r="AB13" s="78" t="inlineStr">
        <is>
          <t>8.31</t>
        </is>
      </c>
    </row>
    <row r="14" ht="20" customHeight="1">
      <c r="A14" s="30" t="inlineStr">
        <is>
          <t>JUMLAH / GP</t>
        </is>
      </c>
      <c r="C14" s="65" t="n">
        <v>87</v>
      </c>
      <c r="D14" s="65" t="n">
        <v>81</v>
      </c>
      <c r="E14" s="66" t="inlineStr">
        <is>
          <t>-</t>
        </is>
      </c>
      <c r="F14" s="66" t="inlineStr">
        <is>
          <t>-</t>
        </is>
      </c>
      <c r="G14" s="67" t="inlineStr">
        <is>
          <t>2</t>
        </is>
      </c>
      <c r="H14" s="67" t="inlineStr">
        <is>
          <t>2.3</t>
        </is>
      </c>
      <c r="I14" s="66" t="inlineStr">
        <is>
          <t>-</t>
        </is>
      </c>
      <c r="J14" s="66" t="inlineStr">
        <is>
          <t>-</t>
        </is>
      </c>
      <c r="K14" s="68" t="inlineStr">
        <is>
          <t>1</t>
        </is>
      </c>
      <c r="L14" s="68" t="inlineStr">
        <is>
          <t>1.1</t>
        </is>
      </c>
      <c r="M14" s="68" t="inlineStr">
        <is>
          <t>2</t>
        </is>
      </c>
      <c r="N14" s="68" t="inlineStr">
        <is>
          <t>2.3</t>
        </is>
      </c>
      <c r="O14" s="68" t="inlineStr">
        <is>
          <t>6</t>
        </is>
      </c>
      <c r="P14" s="68" t="inlineStr">
        <is>
          <t>6.9</t>
        </is>
      </c>
      <c r="Q14" s="69" t="inlineStr">
        <is>
          <t>11</t>
        </is>
      </c>
      <c r="R14" s="69" t="inlineStr">
        <is>
          <t>12.6</t>
        </is>
      </c>
      <c r="S14" s="70" t="inlineStr">
        <is>
          <t>13</t>
        </is>
      </c>
      <c r="T14" s="70" t="inlineStr">
        <is>
          <t>14.9</t>
        </is>
      </c>
      <c r="U14" s="70" t="inlineStr">
        <is>
          <t>17</t>
        </is>
      </c>
      <c r="V14" s="70" t="inlineStr">
        <is>
          <t>19.5</t>
        </is>
      </c>
      <c r="W14" s="70" t="inlineStr">
        <is>
          <t>29</t>
        </is>
      </c>
      <c r="X14" s="70" t="inlineStr">
        <is>
          <t>33.3</t>
        </is>
      </c>
      <c r="Y14" s="70" t="inlineStr">
        <is>
          <t>6</t>
        </is>
      </c>
      <c r="Z14" s="70" t="inlineStr">
        <is>
          <t>6.9</t>
        </is>
      </c>
      <c r="AA14" s="70" t="inlineStr">
        <is>
          <t>35.80%</t>
        </is>
      </c>
      <c r="AB14" s="70" t="inlineStr">
        <is>
          <t>7.37</t>
        </is>
      </c>
    </row>
    <row r="16" ht="22" customHeight="1">
      <c r="A16" s="30" t="inlineStr">
        <is>
          <t>STATUS PENCAPAIAN</t>
        </is>
      </c>
      <c r="E16" s="17" t="inlineStr">
        <is>
          <t>🚨 KRITIKAL   |   GP: 7.37   |   % LULUS: 35.80%</t>
        </is>
      </c>
    </row>
    <row r="18" ht="15" customHeight="1">
      <c r="A18" s="71" t="inlineStr">
        <is>
          <t>🏆 CEMERLANG  GP ≤ 2.0</t>
        </is>
      </c>
      <c r="F18" s="72" t="inlineStr">
        <is>
          <t>✅ BAIK  GP 2.01–3.00</t>
        </is>
      </c>
      <c r="K18" s="73" t="inlineStr">
        <is>
          <t>⚠️ SEDERHANA  GP 3.01–5.00</t>
        </is>
      </c>
      <c r="P18" s="74" t="inlineStr">
        <is>
          <t>⛔ LEMAH  GP 5.01–7.00</t>
        </is>
      </c>
      <c r="U18" s="75" t="inlineStr">
        <is>
          <t>🚨 KRITIKAL  GP &gt; 7.00</t>
        </is>
      </c>
    </row>
    <row r="20">
      <c r="AF20" t="inlineStr">
        <is>
          <t>KELAS</t>
        </is>
      </c>
      <c r="AG20" t="inlineStr">
        <is>
          <t>% LULUS</t>
        </is>
      </c>
      <c r="AH20" t="inlineStr">
        <is>
          <t>GP</t>
        </is>
      </c>
      <c r="AI20" t="inlineStr">
        <is>
          <t>A+</t>
        </is>
      </c>
      <c r="AJ20" t="inlineStr">
        <is>
          <t>A</t>
        </is>
      </c>
      <c r="AK20" t="inlineStr">
        <is>
          <t>A-</t>
        </is>
      </c>
      <c r="AL20" t="inlineStr">
        <is>
          <t>B+</t>
        </is>
      </c>
      <c r="AM20" t="inlineStr">
        <is>
          <t>B</t>
        </is>
      </c>
      <c r="AN20" t="inlineStr">
        <is>
          <t>C+</t>
        </is>
      </c>
      <c r="AO20" t="inlineStr">
        <is>
          <t>C</t>
        </is>
      </c>
      <c r="AP20" t="inlineStr">
        <is>
          <t>D</t>
        </is>
      </c>
      <c r="AQ20" t="inlineStr">
        <is>
          <t>E</t>
        </is>
      </c>
      <c r="AR20" t="inlineStr">
        <is>
          <t>G</t>
        </is>
      </c>
      <c r="AS20" t="inlineStr">
        <is>
          <t>TH</t>
        </is>
      </c>
    </row>
    <row r="21">
      <c r="AF21" t="inlineStr">
        <is>
          <t>5 AKAUN</t>
        </is>
      </c>
      <c r="AG21" t="n">
        <v>70.8</v>
      </c>
      <c r="AH21" t="n">
        <v>6.13</v>
      </c>
      <c r="AI21" t="n">
        <v>0</v>
      </c>
      <c r="AJ21" t="n">
        <v>2</v>
      </c>
      <c r="AK21" t="n">
        <v>0</v>
      </c>
      <c r="AL21" t="n">
        <v>1</v>
      </c>
      <c r="AM21" t="n">
        <v>2</v>
      </c>
      <c r="AN21" t="n">
        <v>2</v>
      </c>
      <c r="AO21" t="n">
        <v>5</v>
      </c>
      <c r="AP21" t="n">
        <v>5</v>
      </c>
      <c r="AQ21" t="n">
        <v>4</v>
      </c>
      <c r="AR21" t="n">
        <v>3</v>
      </c>
      <c r="AS21" t="n">
        <v>0</v>
      </c>
    </row>
    <row r="22">
      <c r="AF22" t="inlineStr">
        <is>
          <t>5 EKONOMI</t>
        </is>
      </c>
      <c r="AG22" t="n">
        <v>27.8</v>
      </c>
      <c r="AH22" t="n">
        <v>7.61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</v>
      </c>
      <c r="AO22" t="n">
        <v>3</v>
      </c>
      <c r="AP22" t="n">
        <v>3</v>
      </c>
      <c r="AQ22" t="n">
        <v>6</v>
      </c>
      <c r="AR22" t="n">
        <v>5</v>
      </c>
      <c r="AS22" t="n">
        <v>2</v>
      </c>
    </row>
    <row r="23">
      <c r="AF23" t="inlineStr">
        <is>
          <t>5 SAINS GUNAAN</t>
        </is>
      </c>
      <c r="AG23" t="n">
        <v>34.8</v>
      </c>
      <c r="AH23" t="n">
        <v>7.83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2</v>
      </c>
      <c r="AO23" t="n">
        <v>3</v>
      </c>
      <c r="AP23" t="n">
        <v>3</v>
      </c>
      <c r="AQ23" t="n">
        <v>4</v>
      </c>
      <c r="AR23" t="n">
        <v>11</v>
      </c>
      <c r="AS23" t="n">
        <v>0</v>
      </c>
    </row>
    <row r="24">
      <c r="AF24" t="inlineStr">
        <is>
          <t>5 SENI</t>
        </is>
      </c>
      <c r="AG24" t="n">
        <v>0</v>
      </c>
      <c r="AH24" t="n">
        <v>8.31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</v>
      </c>
      <c r="AO24" t="n">
        <v>0</v>
      </c>
      <c r="AP24" t="n">
        <v>2</v>
      </c>
      <c r="AQ24" t="n">
        <v>3</v>
      </c>
      <c r="AR24" t="n">
        <v>10</v>
      </c>
      <c r="AS24" t="n">
        <v>4</v>
      </c>
    </row>
  </sheetData>
  <mergeCells count="33">
    <mergeCell ref="A2:AB2"/>
    <mergeCell ref="Q5:V5"/>
    <mergeCell ref="B8:B9"/>
    <mergeCell ref="Q8:R8"/>
    <mergeCell ref="K8:P8"/>
    <mergeCell ref="Q6:V6"/>
    <mergeCell ref="AB8:AB9"/>
    <mergeCell ref="F18:J18"/>
    <mergeCell ref="L5:P5"/>
    <mergeCell ref="G6:K6"/>
    <mergeCell ref="A18:E18"/>
    <mergeCell ref="A8:A9"/>
    <mergeCell ref="C8:C9"/>
    <mergeCell ref="S8:V8"/>
    <mergeCell ref="E16:AB16"/>
    <mergeCell ref="D8:D9"/>
    <mergeCell ref="A1:AB1"/>
    <mergeCell ref="G5:K5"/>
    <mergeCell ref="A14:B14"/>
    <mergeCell ref="A16:D16"/>
    <mergeCell ref="U18:Y18"/>
    <mergeCell ref="W8:X8"/>
    <mergeCell ref="P18:T18"/>
    <mergeCell ref="B6:F6"/>
    <mergeCell ref="W6:AB6"/>
    <mergeCell ref="AA8:AA9"/>
    <mergeCell ref="L6:P6"/>
    <mergeCell ref="B5:F5"/>
    <mergeCell ref="W5:AB5"/>
    <mergeCell ref="E8:J8"/>
    <mergeCell ref="Y8:Z8"/>
    <mergeCell ref="A3:AB3"/>
    <mergeCell ref="K18:O18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26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8" customWidth="1" min="3" max="3"/>
    <col width="8" customWidth="1" min="4" max="4"/>
    <col width="5" customWidth="1" min="5" max="5"/>
    <col width="6" customWidth="1" min="6" max="6"/>
    <col width="5" customWidth="1" min="7" max="7"/>
    <col width="6" customWidth="1" min="8" max="8"/>
    <col width="5" customWidth="1" min="9" max="9"/>
    <col width="6" customWidth="1" min="10" max="10"/>
    <col width="5" customWidth="1" min="11" max="11"/>
    <col width="6" customWidth="1" min="12" max="12"/>
    <col width="5" customWidth="1" min="13" max="13"/>
    <col width="6" customWidth="1" min="14" max="14"/>
    <col width="5" customWidth="1" min="15" max="15"/>
    <col width="6" customWidth="1" min="16" max="16"/>
    <col width="5" customWidth="1" min="17" max="17"/>
    <col width="6" customWidth="1" min="18" max="18"/>
    <col width="5" customWidth="1" min="19" max="19"/>
    <col width="6" customWidth="1" min="20" max="20"/>
    <col width="5" customWidth="1" min="21" max="21"/>
    <col width="6" customWidth="1" min="22" max="22"/>
    <col width="5" customWidth="1" min="23" max="23"/>
    <col width="6" customWidth="1" min="24" max="24"/>
    <col width="5" customWidth="1" min="25" max="25"/>
    <col width="6" customWidth="1" min="26" max="26"/>
    <col width="10" customWidth="1" min="27" max="27"/>
    <col width="8" customWidth="1" min="28" max="28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</cols>
  <sheetData>
    <row r="1" ht="28" customHeight="1">
      <c r="A1" s="23" t="inlineStr">
        <is>
          <t>SEKOLAH MENENGAH KEBANGSAAN KELANA JAYA</t>
        </is>
      </c>
    </row>
    <row r="2" ht="20" customHeight="1">
      <c r="A2" s="24" t="inlineStr">
        <is>
          <t>ANALISIS PEPERIKSAAN PERTENGAHAN TAHUN 2026 — TINGKATAN 5</t>
        </is>
      </c>
    </row>
    <row r="3" ht="24" customHeight="1">
      <c r="A3" s="25" t="inlineStr">
        <is>
          <t>1249  SEJARAH</t>
        </is>
      </c>
    </row>
    <row r="5" ht="16" customHeight="1">
      <c r="B5" s="26" t="inlineStr">
        <is>
          <t>JLH DAFTAR</t>
        </is>
      </c>
      <c r="G5" s="26" t="inlineStr">
        <is>
          <t>JLH HADIR</t>
        </is>
      </c>
      <c r="L5" s="26" t="inlineStr">
        <is>
          <t>% LULUS</t>
        </is>
      </c>
      <c r="Q5" s="26" t="inlineStr">
        <is>
          <t>GRED PURATA (GP)</t>
        </is>
      </c>
      <c r="W5" s="26" t="inlineStr">
        <is>
          <t>STATUS</t>
        </is>
      </c>
    </row>
    <row r="6" ht="22" customHeight="1">
      <c r="B6" s="27" t="n">
        <v>98</v>
      </c>
      <c r="G6" s="27" t="n">
        <v>94</v>
      </c>
      <c r="L6" s="29" t="inlineStr">
        <is>
          <t>53.19%</t>
        </is>
      </c>
      <c r="Q6" s="79" t="inlineStr">
        <is>
          <t>5.79</t>
        </is>
      </c>
      <c r="W6" s="79" t="inlineStr">
        <is>
          <t>⛔ LEMAH</t>
        </is>
      </c>
    </row>
    <row r="8" ht="18" customHeight="1">
      <c r="A8" s="30" t="inlineStr">
        <is>
          <t>BIL</t>
        </is>
      </c>
      <c r="B8" s="30" t="inlineStr">
        <is>
          <t>KELAS</t>
        </is>
      </c>
      <c r="C8" s="30" t="inlineStr">
        <is>
          <t>DAFTAR</t>
        </is>
      </c>
      <c r="D8" s="30" t="inlineStr">
        <is>
          <t>HADIR</t>
        </is>
      </c>
      <c r="E8" s="31" t="inlineStr">
        <is>
          <t>CEMERLANG</t>
        </is>
      </c>
      <c r="K8" s="32" t="inlineStr">
        <is>
          <t>SEDERHANA</t>
        </is>
      </c>
      <c r="Q8" s="33" t="inlineStr">
        <is>
          <t>LULUS</t>
        </is>
      </c>
      <c r="S8" s="34" t="inlineStr">
        <is>
          <t>GAGAL</t>
        </is>
      </c>
      <c r="W8" s="35" t="inlineStr">
        <is>
          <t>GAGAL (G)</t>
        </is>
      </c>
      <c r="Y8" s="36" t="inlineStr">
        <is>
          <t>TH</t>
        </is>
      </c>
      <c r="AA8" s="37" t="inlineStr">
        <is>
          <t>% LULUS</t>
        </is>
      </c>
      <c r="AB8" s="30" t="inlineStr">
        <is>
          <t>GP</t>
        </is>
      </c>
    </row>
    <row r="9" ht="15" customHeight="1">
      <c r="E9" s="38" t="inlineStr">
        <is>
          <t>A+</t>
        </is>
      </c>
      <c r="F9" s="38" t="inlineStr">
        <is>
          <t>%</t>
        </is>
      </c>
      <c r="G9" s="38" t="inlineStr">
        <is>
          <t>A</t>
        </is>
      </c>
      <c r="H9" s="38" t="inlineStr">
        <is>
          <t>%</t>
        </is>
      </c>
      <c r="I9" s="38" t="inlineStr">
        <is>
          <t>A-</t>
        </is>
      </c>
      <c r="J9" s="38" t="inlineStr">
        <is>
          <t>%</t>
        </is>
      </c>
      <c r="K9" s="39" t="inlineStr">
        <is>
          <t>B+</t>
        </is>
      </c>
      <c r="L9" s="39" t="inlineStr">
        <is>
          <t>%</t>
        </is>
      </c>
      <c r="M9" s="39" t="inlineStr">
        <is>
          <t>B</t>
        </is>
      </c>
      <c r="N9" s="39" t="inlineStr">
        <is>
          <t>%</t>
        </is>
      </c>
      <c r="O9" s="39" t="inlineStr">
        <is>
          <t>C+</t>
        </is>
      </c>
      <c r="P9" s="39" t="inlineStr">
        <is>
          <t>%</t>
        </is>
      </c>
      <c r="Q9" s="40" t="inlineStr">
        <is>
          <t>C</t>
        </is>
      </c>
      <c r="R9" s="40" t="inlineStr">
        <is>
          <t>%</t>
        </is>
      </c>
      <c r="S9" s="41" t="inlineStr">
        <is>
          <t>D</t>
        </is>
      </c>
      <c r="T9" s="41" t="inlineStr">
        <is>
          <t>%</t>
        </is>
      </c>
      <c r="U9" s="41" t="inlineStr">
        <is>
          <t>E</t>
        </is>
      </c>
      <c r="V9" s="41" t="inlineStr">
        <is>
          <t>%</t>
        </is>
      </c>
      <c r="W9" s="42" t="inlineStr">
        <is>
          <t>G</t>
        </is>
      </c>
      <c r="X9" s="42" t="inlineStr">
        <is>
          <t>%</t>
        </is>
      </c>
      <c r="Y9" s="43" t="inlineStr">
        <is>
          <t>TH</t>
        </is>
      </c>
      <c r="Z9" s="43" t="inlineStr">
        <is>
          <t>%</t>
        </is>
      </c>
    </row>
    <row r="10" ht="18" customHeight="1">
      <c r="A10" s="44" t="n">
        <v>1</v>
      </c>
      <c r="B10" s="45" t="inlineStr">
        <is>
          <t>5 AKAUN</t>
        </is>
      </c>
      <c r="C10" s="46" t="n">
        <v>24</v>
      </c>
      <c r="D10" s="46" t="n">
        <v>24</v>
      </c>
      <c r="E10" s="48" t="inlineStr">
        <is>
          <t>2</t>
        </is>
      </c>
      <c r="F10" s="48" t="inlineStr">
        <is>
          <t>8.3</t>
        </is>
      </c>
      <c r="G10" s="48" t="inlineStr">
        <is>
          <t>5</t>
        </is>
      </c>
      <c r="H10" s="48" t="inlineStr">
        <is>
          <t>20.8</t>
        </is>
      </c>
      <c r="I10" s="48" t="inlineStr">
        <is>
          <t>3</t>
        </is>
      </c>
      <c r="J10" s="48" t="inlineStr">
        <is>
          <t>12.5</t>
        </is>
      </c>
      <c r="K10" s="49" t="inlineStr">
        <is>
          <t>4</t>
        </is>
      </c>
      <c r="L10" s="49" t="inlineStr">
        <is>
          <t>16.7</t>
        </is>
      </c>
      <c r="M10" s="49" t="inlineStr">
        <is>
          <t>2</t>
        </is>
      </c>
      <c r="N10" s="49" t="inlineStr">
        <is>
          <t>8.3</t>
        </is>
      </c>
      <c r="O10" s="49" t="inlineStr">
        <is>
          <t>1</t>
        </is>
      </c>
      <c r="P10" s="49" t="inlineStr">
        <is>
          <t>4.2</t>
        </is>
      </c>
      <c r="Q10" s="63" t="inlineStr">
        <is>
          <t>1</t>
        </is>
      </c>
      <c r="R10" s="63" t="inlineStr">
        <is>
          <t>4.2</t>
        </is>
      </c>
      <c r="S10" s="50" t="inlineStr">
        <is>
          <t>1</t>
        </is>
      </c>
      <c r="T10" s="50" t="inlineStr">
        <is>
          <t>4.2</t>
        </is>
      </c>
      <c r="U10" s="50" t="inlineStr">
        <is>
          <t>2</t>
        </is>
      </c>
      <c r="V10" s="50" t="inlineStr">
        <is>
          <t>8.3</t>
        </is>
      </c>
      <c r="W10" s="50" t="inlineStr">
        <is>
          <t>3</t>
        </is>
      </c>
      <c r="X10" s="50" t="inlineStr">
        <is>
          <t>12.5</t>
        </is>
      </c>
      <c r="Y10" s="47" t="inlineStr">
        <is>
          <t>-</t>
        </is>
      </c>
      <c r="Z10" s="47" t="inlineStr">
        <is>
          <t>-</t>
        </is>
      </c>
      <c r="AA10" s="52" t="inlineStr">
        <is>
          <t>79.2%</t>
        </is>
      </c>
      <c r="AB10" s="80" t="inlineStr">
        <is>
          <t>3.83</t>
        </is>
      </c>
    </row>
    <row r="11" ht="18" customHeight="1">
      <c r="A11" s="53" t="n">
        <v>2</v>
      </c>
      <c r="B11" s="54" t="inlineStr">
        <is>
          <t>5 EKONOMI</t>
        </is>
      </c>
      <c r="C11" s="55" t="n">
        <v>20</v>
      </c>
      <c r="D11" s="55" t="n">
        <v>18</v>
      </c>
      <c r="E11" s="56" t="inlineStr">
        <is>
          <t>-</t>
        </is>
      </c>
      <c r="F11" s="56" t="inlineStr">
        <is>
          <t>-</t>
        </is>
      </c>
      <c r="G11" s="56" t="inlineStr">
        <is>
          <t>-</t>
        </is>
      </c>
      <c r="H11" s="56" t="inlineStr">
        <is>
          <t>-</t>
        </is>
      </c>
      <c r="I11" s="57" t="inlineStr">
        <is>
          <t>1</t>
        </is>
      </c>
      <c r="J11" s="57" t="inlineStr">
        <is>
          <t>5.0</t>
        </is>
      </c>
      <c r="K11" s="56" t="inlineStr">
        <is>
          <t>-</t>
        </is>
      </c>
      <c r="L11" s="56" t="inlineStr">
        <is>
          <t>-</t>
        </is>
      </c>
      <c r="M11" s="56" t="inlineStr">
        <is>
          <t>-</t>
        </is>
      </c>
      <c r="N11" s="56" t="inlineStr">
        <is>
          <t>-</t>
        </is>
      </c>
      <c r="O11" s="58" t="inlineStr">
        <is>
          <t>2</t>
        </is>
      </c>
      <c r="P11" s="58" t="inlineStr">
        <is>
          <t>10.0</t>
        </is>
      </c>
      <c r="Q11" s="59" t="inlineStr">
        <is>
          <t>2</t>
        </is>
      </c>
      <c r="R11" s="59" t="inlineStr">
        <is>
          <t>10.0</t>
        </is>
      </c>
      <c r="S11" s="60" t="inlineStr">
        <is>
          <t>1</t>
        </is>
      </c>
      <c r="T11" s="60" t="inlineStr">
        <is>
          <t>5.0</t>
        </is>
      </c>
      <c r="U11" s="60" t="inlineStr">
        <is>
          <t>4</t>
        </is>
      </c>
      <c r="V11" s="60" t="inlineStr">
        <is>
          <t>20.0</t>
        </is>
      </c>
      <c r="W11" s="60" t="inlineStr">
        <is>
          <t>8</t>
        </is>
      </c>
      <c r="X11" s="60" t="inlineStr">
        <is>
          <t>40.0</t>
        </is>
      </c>
      <c r="Y11" s="60" t="inlineStr">
        <is>
          <t>2</t>
        </is>
      </c>
      <c r="Z11" s="60" t="inlineStr">
        <is>
          <t>10.0</t>
        </is>
      </c>
      <c r="AA11" s="78" t="inlineStr">
        <is>
          <t>22.2%</t>
        </is>
      </c>
      <c r="AB11" s="78" t="inlineStr">
        <is>
          <t>7.50</t>
        </is>
      </c>
    </row>
    <row r="12" ht="18" customHeight="1">
      <c r="A12" s="44" t="n">
        <v>3</v>
      </c>
      <c r="B12" s="45" t="inlineStr">
        <is>
          <t>5 SAINS</t>
        </is>
      </c>
      <c r="C12" s="46" t="n">
        <v>11</v>
      </c>
      <c r="D12" s="46" t="n">
        <v>10</v>
      </c>
      <c r="E12" s="47" t="inlineStr">
        <is>
          <t>-</t>
        </is>
      </c>
      <c r="F12" s="47" t="inlineStr">
        <is>
          <t>-</t>
        </is>
      </c>
      <c r="G12" s="48" t="inlineStr">
        <is>
          <t>3</t>
        </is>
      </c>
      <c r="H12" s="48" t="inlineStr">
        <is>
          <t>27.3</t>
        </is>
      </c>
      <c r="I12" s="48" t="inlineStr">
        <is>
          <t>2</t>
        </is>
      </c>
      <c r="J12" s="48" t="inlineStr">
        <is>
          <t>18.2</t>
        </is>
      </c>
      <c r="K12" s="49" t="inlineStr">
        <is>
          <t>3</t>
        </is>
      </c>
      <c r="L12" s="49" t="inlineStr">
        <is>
          <t>27.3</t>
        </is>
      </c>
      <c r="M12" s="49" t="inlineStr">
        <is>
          <t>2</t>
        </is>
      </c>
      <c r="N12" s="49" t="inlineStr">
        <is>
          <t>18.2</t>
        </is>
      </c>
      <c r="O12" s="47" t="inlineStr">
        <is>
          <t>-</t>
        </is>
      </c>
      <c r="P12" s="47" t="inlineStr">
        <is>
          <t>-</t>
        </is>
      </c>
      <c r="Q12" s="47" t="inlineStr">
        <is>
          <t>-</t>
        </is>
      </c>
      <c r="R12" s="47" t="inlineStr">
        <is>
          <t>-</t>
        </is>
      </c>
      <c r="S12" s="47" t="inlineStr">
        <is>
          <t>-</t>
        </is>
      </c>
      <c r="T12" s="47" t="inlineStr">
        <is>
          <t>-</t>
        </is>
      </c>
      <c r="U12" s="47" t="inlineStr">
        <is>
          <t>-</t>
        </is>
      </c>
      <c r="V12" s="47" t="inlineStr">
        <is>
          <t>-</t>
        </is>
      </c>
      <c r="W12" s="47" t="inlineStr">
        <is>
          <t>-</t>
        </is>
      </c>
      <c r="X12" s="47" t="inlineStr">
        <is>
          <t>-</t>
        </is>
      </c>
      <c r="Y12" s="50" t="inlineStr">
        <is>
          <t>1</t>
        </is>
      </c>
      <c r="Z12" s="50" t="inlineStr">
        <is>
          <t>9.1</t>
        </is>
      </c>
      <c r="AA12" s="51" t="inlineStr">
        <is>
          <t>90.0%</t>
        </is>
      </c>
      <c r="AB12" s="52" t="inlineStr">
        <is>
          <t>2.40</t>
        </is>
      </c>
    </row>
    <row r="13" ht="18" customHeight="1">
      <c r="A13" s="53" t="n">
        <v>4</v>
      </c>
      <c r="B13" s="54" t="inlineStr">
        <is>
          <t>5 SAINS GUNAAN</t>
        </is>
      </c>
      <c r="C13" s="55" t="n">
        <v>23</v>
      </c>
      <c r="D13" s="55" t="n">
        <v>23</v>
      </c>
      <c r="E13" s="56" t="inlineStr">
        <is>
          <t>-</t>
        </is>
      </c>
      <c r="F13" s="56" t="inlineStr">
        <is>
          <t>-</t>
        </is>
      </c>
      <c r="G13" s="56" t="inlineStr">
        <is>
          <t>-</t>
        </is>
      </c>
      <c r="H13" s="56" t="inlineStr">
        <is>
          <t>-</t>
        </is>
      </c>
      <c r="I13" s="57" t="inlineStr">
        <is>
          <t>4</t>
        </is>
      </c>
      <c r="J13" s="57" t="inlineStr">
        <is>
          <t>17.4</t>
        </is>
      </c>
      <c r="K13" s="58" t="inlineStr">
        <is>
          <t>1</t>
        </is>
      </c>
      <c r="L13" s="58" t="inlineStr">
        <is>
          <t>4.3</t>
        </is>
      </c>
      <c r="M13" s="58" t="inlineStr">
        <is>
          <t>2</t>
        </is>
      </c>
      <c r="N13" s="58" t="inlineStr">
        <is>
          <t>8.7</t>
        </is>
      </c>
      <c r="O13" s="58" t="inlineStr">
        <is>
          <t>1</t>
        </is>
      </c>
      <c r="P13" s="58" t="inlineStr">
        <is>
          <t>4.3</t>
        </is>
      </c>
      <c r="Q13" s="59" t="inlineStr">
        <is>
          <t>4</t>
        </is>
      </c>
      <c r="R13" s="59" t="inlineStr">
        <is>
          <t>17.4</t>
        </is>
      </c>
      <c r="S13" s="60" t="inlineStr">
        <is>
          <t>4</t>
        </is>
      </c>
      <c r="T13" s="60" t="inlineStr">
        <is>
          <t>17.4</t>
        </is>
      </c>
      <c r="U13" s="60" t="inlineStr">
        <is>
          <t>3</t>
        </is>
      </c>
      <c r="V13" s="60" t="inlineStr">
        <is>
          <t>13.0</t>
        </is>
      </c>
      <c r="W13" s="60" t="inlineStr">
        <is>
          <t>4</t>
        </is>
      </c>
      <c r="X13" s="60" t="inlineStr">
        <is>
          <t>17.4</t>
        </is>
      </c>
      <c r="Y13" s="56" t="inlineStr">
        <is>
          <t>-</t>
        </is>
      </c>
      <c r="Z13" s="56" t="inlineStr">
        <is>
          <t>-</t>
        </is>
      </c>
      <c r="AA13" s="81" t="inlineStr">
        <is>
          <t>69.6%</t>
        </is>
      </c>
      <c r="AB13" s="82" t="inlineStr">
        <is>
          <t>5.91</t>
        </is>
      </c>
    </row>
    <row r="14" ht="18" customHeight="1">
      <c r="A14" s="44" t="n">
        <v>5</v>
      </c>
      <c r="B14" s="45" t="inlineStr">
        <is>
          <t>5 SENI</t>
        </is>
      </c>
      <c r="C14" s="46" t="n">
        <v>20</v>
      </c>
      <c r="D14" s="46" t="n">
        <v>19</v>
      </c>
      <c r="E14" s="47" t="inlineStr">
        <is>
          <t>-</t>
        </is>
      </c>
      <c r="F14" s="47" t="inlineStr">
        <is>
          <t>-</t>
        </is>
      </c>
      <c r="G14" s="47" t="inlineStr">
        <is>
          <t>-</t>
        </is>
      </c>
      <c r="H14" s="47" t="inlineStr">
        <is>
          <t>-</t>
        </is>
      </c>
      <c r="I14" s="47" t="inlineStr">
        <is>
          <t>-</t>
        </is>
      </c>
      <c r="J14" s="47" t="inlineStr">
        <is>
          <t>-</t>
        </is>
      </c>
      <c r="K14" s="47" t="inlineStr">
        <is>
          <t>-</t>
        </is>
      </c>
      <c r="L14" s="47" t="inlineStr">
        <is>
          <t>-</t>
        </is>
      </c>
      <c r="M14" s="49" t="inlineStr">
        <is>
          <t>1</t>
        </is>
      </c>
      <c r="N14" s="49" t="inlineStr">
        <is>
          <t>5.0</t>
        </is>
      </c>
      <c r="O14" s="49" t="inlineStr">
        <is>
          <t>2</t>
        </is>
      </c>
      <c r="P14" s="49" t="inlineStr">
        <is>
          <t>10.0</t>
        </is>
      </c>
      <c r="Q14" s="47" t="inlineStr">
        <is>
          <t>-</t>
        </is>
      </c>
      <c r="R14" s="47" t="inlineStr">
        <is>
          <t>-</t>
        </is>
      </c>
      <c r="S14" s="47" t="inlineStr">
        <is>
          <t>-</t>
        </is>
      </c>
      <c r="T14" s="47" t="inlineStr">
        <is>
          <t>-</t>
        </is>
      </c>
      <c r="U14" s="50" t="inlineStr">
        <is>
          <t>1</t>
        </is>
      </c>
      <c r="V14" s="50" t="inlineStr">
        <is>
          <t>5.0</t>
        </is>
      </c>
      <c r="W14" s="50" t="inlineStr">
        <is>
          <t>15</t>
        </is>
      </c>
      <c r="X14" s="50" t="inlineStr">
        <is>
          <t>75.0</t>
        </is>
      </c>
      <c r="Y14" s="50" t="inlineStr">
        <is>
          <t>1</t>
        </is>
      </c>
      <c r="Z14" s="50" t="inlineStr">
        <is>
          <t>5.0</t>
        </is>
      </c>
      <c r="AA14" s="64" t="inlineStr">
        <is>
          <t>10.5%</t>
        </is>
      </c>
      <c r="AB14" s="64" t="inlineStr">
        <is>
          <t>8.26</t>
        </is>
      </c>
    </row>
    <row r="15" ht="20" customHeight="1">
      <c r="A15" s="30" t="inlineStr">
        <is>
          <t>JUMLAH / GP</t>
        </is>
      </c>
      <c r="C15" s="65" t="n">
        <v>98</v>
      </c>
      <c r="D15" s="65" t="n">
        <v>94</v>
      </c>
      <c r="E15" s="67" t="inlineStr">
        <is>
          <t>2</t>
        </is>
      </c>
      <c r="F15" s="67" t="inlineStr">
        <is>
          <t>2.0</t>
        </is>
      </c>
      <c r="G15" s="67" t="inlineStr">
        <is>
          <t>8</t>
        </is>
      </c>
      <c r="H15" s="67" t="inlineStr">
        <is>
          <t>8.2</t>
        </is>
      </c>
      <c r="I15" s="67" t="inlineStr">
        <is>
          <t>10</t>
        </is>
      </c>
      <c r="J15" s="67" t="inlineStr">
        <is>
          <t>10.2</t>
        </is>
      </c>
      <c r="K15" s="68" t="inlineStr">
        <is>
          <t>8</t>
        </is>
      </c>
      <c r="L15" s="68" t="inlineStr">
        <is>
          <t>8.2</t>
        </is>
      </c>
      <c r="M15" s="68" t="inlineStr">
        <is>
          <t>7</t>
        </is>
      </c>
      <c r="N15" s="68" t="inlineStr">
        <is>
          <t>7.1</t>
        </is>
      </c>
      <c r="O15" s="68" t="inlineStr">
        <is>
          <t>6</t>
        </is>
      </c>
      <c r="P15" s="68" t="inlineStr">
        <is>
          <t>6.1</t>
        </is>
      </c>
      <c r="Q15" s="69" t="inlineStr">
        <is>
          <t>7</t>
        </is>
      </c>
      <c r="R15" s="69" t="inlineStr">
        <is>
          <t>7.1</t>
        </is>
      </c>
      <c r="S15" s="70" t="inlineStr">
        <is>
          <t>6</t>
        </is>
      </c>
      <c r="T15" s="70" t="inlineStr">
        <is>
          <t>6.1</t>
        </is>
      </c>
      <c r="U15" s="70" t="inlineStr">
        <is>
          <t>10</t>
        </is>
      </c>
      <c r="V15" s="70" t="inlineStr">
        <is>
          <t>10.2</t>
        </is>
      </c>
      <c r="W15" s="70" t="inlineStr">
        <is>
          <t>30</t>
        </is>
      </c>
      <c r="X15" s="70" t="inlineStr">
        <is>
          <t>30.6</t>
        </is>
      </c>
      <c r="Y15" s="70" t="inlineStr">
        <is>
          <t>4</t>
        </is>
      </c>
      <c r="Z15" s="70" t="inlineStr">
        <is>
          <t>4.1</t>
        </is>
      </c>
      <c r="AA15" s="68" t="inlineStr">
        <is>
          <t>53.19%</t>
        </is>
      </c>
      <c r="AB15" s="83" t="inlineStr">
        <is>
          <t>5.79</t>
        </is>
      </c>
    </row>
    <row r="17" ht="22" customHeight="1">
      <c r="A17" s="30" t="inlineStr">
        <is>
          <t>STATUS PENCAPAIAN</t>
        </is>
      </c>
      <c r="E17" s="20" t="inlineStr">
        <is>
          <t>⛔ LEMAH   |   GP: 5.79   |   % LULUS: 53.19%</t>
        </is>
      </c>
    </row>
    <row r="19" ht="15" customHeight="1">
      <c r="A19" s="71" t="inlineStr">
        <is>
          <t>🏆 CEMERLANG  GP ≤ 2.0</t>
        </is>
      </c>
      <c r="F19" s="72" t="inlineStr">
        <is>
          <t>✅ BAIK  GP 2.01–3.00</t>
        </is>
      </c>
      <c r="K19" s="73" t="inlineStr">
        <is>
          <t>⚠️ SEDERHANA  GP 3.01–5.00</t>
        </is>
      </c>
      <c r="P19" s="74" t="inlineStr">
        <is>
          <t>⛔ LEMAH  GP 5.01–7.00</t>
        </is>
      </c>
      <c r="U19" s="75" t="inlineStr">
        <is>
          <t>🚨 KRITIKAL  GP &gt; 7.00</t>
        </is>
      </c>
    </row>
    <row r="21">
      <c r="AF21" t="inlineStr">
        <is>
          <t>KELAS</t>
        </is>
      </c>
      <c r="AG21" t="inlineStr">
        <is>
          <t>% LULUS</t>
        </is>
      </c>
      <c r="AH21" t="inlineStr">
        <is>
          <t>GP</t>
        </is>
      </c>
      <c r="AI21" t="inlineStr">
        <is>
          <t>A+</t>
        </is>
      </c>
      <c r="AJ21" t="inlineStr">
        <is>
          <t>A</t>
        </is>
      </c>
      <c r="AK21" t="inlineStr">
        <is>
          <t>A-</t>
        </is>
      </c>
      <c r="AL21" t="inlineStr">
        <is>
          <t>B+</t>
        </is>
      </c>
      <c r="AM21" t="inlineStr">
        <is>
          <t>B</t>
        </is>
      </c>
      <c r="AN21" t="inlineStr">
        <is>
          <t>C+</t>
        </is>
      </c>
      <c r="AO21" t="inlineStr">
        <is>
          <t>C</t>
        </is>
      </c>
      <c r="AP21" t="inlineStr">
        <is>
          <t>D</t>
        </is>
      </c>
      <c r="AQ21" t="inlineStr">
        <is>
          <t>E</t>
        </is>
      </c>
      <c r="AR21" t="inlineStr">
        <is>
          <t>G</t>
        </is>
      </c>
      <c r="AS21" t="inlineStr">
        <is>
          <t>TH</t>
        </is>
      </c>
    </row>
    <row r="22">
      <c r="AF22" t="inlineStr">
        <is>
          <t>5 AKAUN</t>
        </is>
      </c>
      <c r="AG22" t="n">
        <v>79.2</v>
      </c>
      <c r="AH22" t="n">
        <v>3.83</v>
      </c>
      <c r="AI22" t="n">
        <v>2</v>
      </c>
      <c r="AJ22" t="n">
        <v>5</v>
      </c>
      <c r="AK22" t="n">
        <v>3</v>
      </c>
      <c r="AL22" t="n">
        <v>4</v>
      </c>
      <c r="AM22" t="n">
        <v>2</v>
      </c>
      <c r="AN22" t="n">
        <v>1</v>
      </c>
      <c r="AO22" t="n">
        <v>1</v>
      </c>
      <c r="AP22" t="n">
        <v>1</v>
      </c>
      <c r="AQ22" t="n">
        <v>2</v>
      </c>
      <c r="AR22" t="n">
        <v>3</v>
      </c>
      <c r="AS22" t="n">
        <v>0</v>
      </c>
    </row>
    <row r="23">
      <c r="AF23" t="inlineStr">
        <is>
          <t>5 EKONOMI</t>
        </is>
      </c>
      <c r="AG23" t="n">
        <v>22.2</v>
      </c>
      <c r="AH23" t="n">
        <v>7.5</v>
      </c>
      <c r="AI23" t="n">
        <v>0</v>
      </c>
      <c r="AJ23" t="n">
        <v>0</v>
      </c>
      <c r="AK23" t="n">
        <v>1</v>
      </c>
      <c r="AL23" t="n">
        <v>0</v>
      </c>
      <c r="AM23" t="n">
        <v>0</v>
      </c>
      <c r="AN23" t="n">
        <v>2</v>
      </c>
      <c r="AO23" t="n">
        <v>2</v>
      </c>
      <c r="AP23" t="n">
        <v>1</v>
      </c>
      <c r="AQ23" t="n">
        <v>4</v>
      </c>
      <c r="AR23" t="n">
        <v>8</v>
      </c>
      <c r="AS23" t="n">
        <v>2</v>
      </c>
    </row>
    <row r="24">
      <c r="AF24" t="inlineStr">
        <is>
          <t>5 SAINS</t>
        </is>
      </c>
      <c r="AG24" t="n">
        <v>90</v>
      </c>
      <c r="AH24" t="n">
        <v>2.4</v>
      </c>
      <c r="AI24" t="n">
        <v>0</v>
      </c>
      <c r="AJ24" t="n">
        <v>3</v>
      </c>
      <c r="AK24" t="n">
        <v>2</v>
      </c>
      <c r="AL24" t="n">
        <v>3</v>
      </c>
      <c r="AM24" t="n">
        <v>2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</row>
    <row r="25">
      <c r="AF25" t="inlineStr">
        <is>
          <t>5 SAINS GUNAAN</t>
        </is>
      </c>
      <c r="AG25" t="n">
        <v>69.59999999999999</v>
      </c>
      <c r="AH25" t="n">
        <v>5.91</v>
      </c>
      <c r="AI25" t="n">
        <v>0</v>
      </c>
      <c r="AJ25" t="n">
        <v>0</v>
      </c>
      <c r="AK25" t="n">
        <v>4</v>
      </c>
      <c r="AL25" t="n">
        <v>1</v>
      </c>
      <c r="AM25" t="n">
        <v>2</v>
      </c>
      <c r="AN25" t="n">
        <v>1</v>
      </c>
      <c r="AO25" t="n">
        <v>4</v>
      </c>
      <c r="AP25" t="n">
        <v>4</v>
      </c>
      <c r="AQ25" t="n">
        <v>3</v>
      </c>
      <c r="AR25" t="n">
        <v>4</v>
      </c>
      <c r="AS25" t="n">
        <v>0</v>
      </c>
    </row>
    <row r="26">
      <c r="AF26" t="inlineStr">
        <is>
          <t>5 SENI</t>
        </is>
      </c>
      <c r="AG26" t="n">
        <v>10.5</v>
      </c>
      <c r="AH26" t="n">
        <v>8.26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2</v>
      </c>
      <c r="AO26" t="n">
        <v>0</v>
      </c>
      <c r="AP26" t="n">
        <v>0</v>
      </c>
      <c r="AQ26" t="n">
        <v>1</v>
      </c>
      <c r="AR26" t="n">
        <v>15</v>
      </c>
      <c r="AS26" t="n">
        <v>1</v>
      </c>
    </row>
  </sheetData>
  <mergeCells count="33">
    <mergeCell ref="E17:AB17"/>
    <mergeCell ref="A2:AB2"/>
    <mergeCell ref="A17:D17"/>
    <mergeCell ref="A15:B15"/>
    <mergeCell ref="Q5:V5"/>
    <mergeCell ref="F19:J19"/>
    <mergeCell ref="B8:B9"/>
    <mergeCell ref="Q8:R8"/>
    <mergeCell ref="K8:P8"/>
    <mergeCell ref="Q6:V6"/>
    <mergeCell ref="AB8:AB9"/>
    <mergeCell ref="L5:P5"/>
    <mergeCell ref="G6:K6"/>
    <mergeCell ref="A8:A9"/>
    <mergeCell ref="C8:C9"/>
    <mergeCell ref="S8:V8"/>
    <mergeCell ref="D8:D9"/>
    <mergeCell ref="A1:AB1"/>
    <mergeCell ref="G5:K5"/>
    <mergeCell ref="P19:T19"/>
    <mergeCell ref="W8:X8"/>
    <mergeCell ref="B6:F6"/>
    <mergeCell ref="W6:AB6"/>
    <mergeCell ref="AA8:AA9"/>
    <mergeCell ref="L6:P6"/>
    <mergeCell ref="B5:F5"/>
    <mergeCell ref="A19:E19"/>
    <mergeCell ref="W5:AB5"/>
    <mergeCell ref="E8:J8"/>
    <mergeCell ref="U19:Y19"/>
    <mergeCell ref="K19:O19"/>
    <mergeCell ref="Y8:Z8"/>
    <mergeCell ref="A3:AB3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26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8" customWidth="1" min="3" max="3"/>
    <col width="8" customWidth="1" min="4" max="4"/>
    <col width="5" customWidth="1" min="5" max="5"/>
    <col width="6" customWidth="1" min="6" max="6"/>
    <col width="5" customWidth="1" min="7" max="7"/>
    <col width="6" customWidth="1" min="8" max="8"/>
    <col width="5" customWidth="1" min="9" max="9"/>
    <col width="6" customWidth="1" min="10" max="10"/>
    <col width="5" customWidth="1" min="11" max="11"/>
    <col width="6" customWidth="1" min="12" max="12"/>
    <col width="5" customWidth="1" min="13" max="13"/>
    <col width="6" customWidth="1" min="14" max="14"/>
    <col width="5" customWidth="1" min="15" max="15"/>
    <col width="6" customWidth="1" min="16" max="16"/>
    <col width="5" customWidth="1" min="17" max="17"/>
    <col width="6" customWidth="1" min="18" max="18"/>
    <col width="5" customWidth="1" min="19" max="19"/>
    <col width="6" customWidth="1" min="20" max="20"/>
    <col width="5" customWidth="1" min="21" max="21"/>
    <col width="6" customWidth="1" min="22" max="22"/>
    <col width="5" customWidth="1" min="23" max="23"/>
    <col width="6" customWidth="1" min="24" max="24"/>
    <col width="5" customWidth="1" min="25" max="25"/>
    <col width="6" customWidth="1" min="26" max="26"/>
    <col width="10" customWidth="1" min="27" max="27"/>
    <col width="8" customWidth="1" min="28" max="28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</cols>
  <sheetData>
    <row r="1" ht="28" customHeight="1">
      <c r="A1" s="23" t="inlineStr">
        <is>
          <t>SEKOLAH MENENGAH KEBANGSAAN KELANA JAYA</t>
        </is>
      </c>
    </row>
    <row r="2" ht="20" customHeight="1">
      <c r="A2" s="24" t="inlineStr">
        <is>
          <t>ANALISIS PEPERIKSAAN PERTENGAHAN TAHUN 2026 — TINGKATAN 5</t>
        </is>
      </c>
    </row>
    <row r="3" ht="24" customHeight="1">
      <c r="A3" s="25" t="inlineStr">
        <is>
          <t>1223  PENDIDIKAN ISLAM</t>
        </is>
      </c>
    </row>
    <row r="5" ht="16" customHeight="1">
      <c r="B5" s="26" t="inlineStr">
        <is>
          <t>JLH DAFTAR</t>
        </is>
      </c>
      <c r="G5" s="26" t="inlineStr">
        <is>
          <t>JLH HADIR</t>
        </is>
      </c>
      <c r="L5" s="26" t="inlineStr">
        <is>
          <t>% LULUS</t>
        </is>
      </c>
      <c r="Q5" s="26" t="inlineStr">
        <is>
          <t>GRED PURATA (GP)</t>
        </is>
      </c>
      <c r="W5" s="26" t="inlineStr">
        <is>
          <t>STATUS</t>
        </is>
      </c>
    </row>
    <row r="6" ht="22" customHeight="1">
      <c r="B6" s="27" t="n">
        <v>85</v>
      </c>
      <c r="G6" s="27" t="n">
        <v>81</v>
      </c>
      <c r="L6" s="77" t="inlineStr">
        <is>
          <t>34.57%</t>
        </is>
      </c>
      <c r="Q6" s="77" t="inlineStr">
        <is>
          <t>7.27</t>
        </is>
      </c>
      <c r="W6" s="77" t="inlineStr">
        <is>
          <t>🚨 KRITIKAL</t>
        </is>
      </c>
    </row>
    <row r="8" ht="18" customHeight="1">
      <c r="A8" s="30" t="inlineStr">
        <is>
          <t>BIL</t>
        </is>
      </c>
      <c r="B8" s="30" t="inlineStr">
        <is>
          <t>KELAS</t>
        </is>
      </c>
      <c r="C8" s="30" t="inlineStr">
        <is>
          <t>DAFTAR</t>
        </is>
      </c>
      <c r="D8" s="30" t="inlineStr">
        <is>
          <t>HADIR</t>
        </is>
      </c>
      <c r="E8" s="31" t="inlineStr">
        <is>
          <t>CEMERLANG</t>
        </is>
      </c>
      <c r="K8" s="32" t="inlineStr">
        <is>
          <t>SEDERHANA</t>
        </is>
      </c>
      <c r="Q8" s="33" t="inlineStr">
        <is>
          <t>LULUS</t>
        </is>
      </c>
      <c r="S8" s="34" t="inlineStr">
        <is>
          <t>GAGAL</t>
        </is>
      </c>
      <c r="W8" s="35" t="inlineStr">
        <is>
          <t>GAGAL (G)</t>
        </is>
      </c>
      <c r="Y8" s="36" t="inlineStr">
        <is>
          <t>TH</t>
        </is>
      </c>
      <c r="AA8" s="37" t="inlineStr">
        <is>
          <t>% LULUS</t>
        </is>
      </c>
      <c r="AB8" s="30" t="inlineStr">
        <is>
          <t>GP</t>
        </is>
      </c>
    </row>
    <row r="9" ht="15" customHeight="1">
      <c r="E9" s="38" t="inlineStr">
        <is>
          <t>A+</t>
        </is>
      </c>
      <c r="F9" s="38" t="inlineStr">
        <is>
          <t>%</t>
        </is>
      </c>
      <c r="G9" s="38" t="inlineStr">
        <is>
          <t>A</t>
        </is>
      </c>
      <c r="H9" s="38" t="inlineStr">
        <is>
          <t>%</t>
        </is>
      </c>
      <c r="I9" s="38" t="inlineStr">
        <is>
          <t>A-</t>
        </is>
      </c>
      <c r="J9" s="38" t="inlineStr">
        <is>
          <t>%</t>
        </is>
      </c>
      <c r="K9" s="39" t="inlineStr">
        <is>
          <t>B+</t>
        </is>
      </c>
      <c r="L9" s="39" t="inlineStr">
        <is>
          <t>%</t>
        </is>
      </c>
      <c r="M9" s="39" t="inlineStr">
        <is>
          <t>B</t>
        </is>
      </c>
      <c r="N9" s="39" t="inlineStr">
        <is>
          <t>%</t>
        </is>
      </c>
      <c r="O9" s="39" t="inlineStr">
        <is>
          <t>C+</t>
        </is>
      </c>
      <c r="P9" s="39" t="inlineStr">
        <is>
          <t>%</t>
        </is>
      </c>
      <c r="Q9" s="40" t="inlineStr">
        <is>
          <t>C</t>
        </is>
      </c>
      <c r="R9" s="40" t="inlineStr">
        <is>
          <t>%</t>
        </is>
      </c>
      <c r="S9" s="41" t="inlineStr">
        <is>
          <t>D</t>
        </is>
      </c>
      <c r="T9" s="41" t="inlineStr">
        <is>
          <t>%</t>
        </is>
      </c>
      <c r="U9" s="41" t="inlineStr">
        <is>
          <t>E</t>
        </is>
      </c>
      <c r="V9" s="41" t="inlineStr">
        <is>
          <t>%</t>
        </is>
      </c>
      <c r="W9" s="42" t="inlineStr">
        <is>
          <t>G</t>
        </is>
      </c>
      <c r="X9" s="42" t="inlineStr">
        <is>
          <t>%</t>
        </is>
      </c>
      <c r="Y9" s="43" t="inlineStr">
        <is>
          <t>TH</t>
        </is>
      </c>
      <c r="Z9" s="43" t="inlineStr">
        <is>
          <t>%</t>
        </is>
      </c>
    </row>
    <row r="10" ht="18" customHeight="1">
      <c r="A10" s="44" t="n">
        <v>1</v>
      </c>
      <c r="B10" s="45" t="inlineStr">
        <is>
          <t>5 AKAUN</t>
        </is>
      </c>
      <c r="C10" s="46" t="n">
        <v>21</v>
      </c>
      <c r="D10" s="46" t="n">
        <v>21</v>
      </c>
      <c r="E10" s="47" t="inlineStr">
        <is>
          <t>-</t>
        </is>
      </c>
      <c r="F10" s="47" t="inlineStr">
        <is>
          <t>-</t>
        </is>
      </c>
      <c r="G10" s="47" t="inlineStr">
        <is>
          <t>-</t>
        </is>
      </c>
      <c r="H10" s="47" t="inlineStr">
        <is>
          <t>-</t>
        </is>
      </c>
      <c r="I10" s="48" t="inlineStr">
        <is>
          <t>1</t>
        </is>
      </c>
      <c r="J10" s="48" t="inlineStr">
        <is>
          <t>4.8</t>
        </is>
      </c>
      <c r="K10" s="49" t="inlineStr">
        <is>
          <t>1</t>
        </is>
      </c>
      <c r="L10" s="49" t="inlineStr">
        <is>
          <t>4.8</t>
        </is>
      </c>
      <c r="M10" s="47" t="inlineStr">
        <is>
          <t>-</t>
        </is>
      </c>
      <c r="N10" s="47" t="inlineStr">
        <is>
          <t>-</t>
        </is>
      </c>
      <c r="O10" s="47" t="inlineStr">
        <is>
          <t>-</t>
        </is>
      </c>
      <c r="P10" s="47" t="inlineStr">
        <is>
          <t>-</t>
        </is>
      </c>
      <c r="Q10" s="63" t="inlineStr">
        <is>
          <t>1</t>
        </is>
      </c>
      <c r="R10" s="63" t="inlineStr">
        <is>
          <t>4.8</t>
        </is>
      </c>
      <c r="S10" s="50" t="inlineStr">
        <is>
          <t>3</t>
        </is>
      </c>
      <c r="T10" s="50" t="inlineStr">
        <is>
          <t>14.3</t>
        </is>
      </c>
      <c r="U10" s="50" t="inlineStr">
        <is>
          <t>5</t>
        </is>
      </c>
      <c r="V10" s="50" t="inlineStr">
        <is>
          <t>23.8</t>
        </is>
      </c>
      <c r="W10" s="50" t="inlineStr">
        <is>
          <t>10</t>
        </is>
      </c>
      <c r="X10" s="50" t="inlineStr">
        <is>
          <t>47.6</t>
        </is>
      </c>
      <c r="Y10" s="47" t="inlineStr">
        <is>
          <t>-</t>
        </is>
      </c>
      <c r="Z10" s="47" t="inlineStr">
        <is>
          <t>-</t>
        </is>
      </c>
      <c r="AA10" s="64" t="inlineStr">
        <is>
          <t>28.6%</t>
        </is>
      </c>
      <c r="AB10" s="64" t="inlineStr">
        <is>
          <t>7.71</t>
        </is>
      </c>
    </row>
    <row r="11" ht="18" customHeight="1">
      <c r="A11" s="53" t="n">
        <v>2</v>
      </c>
      <c r="B11" s="54" t="inlineStr">
        <is>
          <t>5 EKONOMI</t>
        </is>
      </c>
      <c r="C11" s="55" t="n">
        <v>18</v>
      </c>
      <c r="D11" s="55" t="n">
        <v>16</v>
      </c>
      <c r="E11" s="56" t="inlineStr">
        <is>
          <t>-</t>
        </is>
      </c>
      <c r="F11" s="56" t="inlineStr">
        <is>
          <t>-</t>
        </is>
      </c>
      <c r="G11" s="56" t="inlineStr">
        <is>
          <t>-</t>
        </is>
      </c>
      <c r="H11" s="56" t="inlineStr">
        <is>
          <t>-</t>
        </is>
      </c>
      <c r="I11" s="56" t="inlineStr">
        <is>
          <t>-</t>
        </is>
      </c>
      <c r="J11" s="56" t="inlineStr">
        <is>
          <t>-</t>
        </is>
      </c>
      <c r="K11" s="56" t="inlineStr">
        <is>
          <t>-</t>
        </is>
      </c>
      <c r="L11" s="56" t="inlineStr">
        <is>
          <t>-</t>
        </is>
      </c>
      <c r="M11" s="58" t="inlineStr">
        <is>
          <t>1</t>
        </is>
      </c>
      <c r="N11" s="58" t="inlineStr">
        <is>
          <t>5.6</t>
        </is>
      </c>
      <c r="O11" s="56" t="inlineStr">
        <is>
          <t>-</t>
        </is>
      </c>
      <c r="P11" s="56" t="inlineStr">
        <is>
          <t>-</t>
        </is>
      </c>
      <c r="Q11" s="59" t="inlineStr">
        <is>
          <t>1</t>
        </is>
      </c>
      <c r="R11" s="59" t="inlineStr">
        <is>
          <t>5.6</t>
        </is>
      </c>
      <c r="S11" s="60" t="inlineStr">
        <is>
          <t>1</t>
        </is>
      </c>
      <c r="T11" s="60" t="inlineStr">
        <is>
          <t>5.6</t>
        </is>
      </c>
      <c r="U11" s="60" t="inlineStr">
        <is>
          <t>4</t>
        </is>
      </c>
      <c r="V11" s="60" t="inlineStr">
        <is>
          <t>22.2</t>
        </is>
      </c>
      <c r="W11" s="60" t="inlineStr">
        <is>
          <t>9</t>
        </is>
      </c>
      <c r="X11" s="60" t="inlineStr">
        <is>
          <t>50.0</t>
        </is>
      </c>
      <c r="Y11" s="60" t="inlineStr">
        <is>
          <t>2</t>
        </is>
      </c>
      <c r="Z11" s="60" t="inlineStr">
        <is>
          <t>11.1</t>
        </is>
      </c>
      <c r="AA11" s="78" t="inlineStr">
        <is>
          <t>6.2%</t>
        </is>
      </c>
      <c r="AB11" s="78" t="inlineStr">
        <is>
          <t>8.13</t>
        </is>
      </c>
    </row>
    <row r="12" ht="18" customHeight="1">
      <c r="A12" s="44" t="n">
        <v>3</v>
      </c>
      <c r="B12" s="45" t="inlineStr">
        <is>
          <t>5 SAINS</t>
        </is>
      </c>
      <c r="C12" s="46" t="n">
        <v>11</v>
      </c>
      <c r="D12" s="46" t="n">
        <v>11</v>
      </c>
      <c r="E12" s="47" t="inlineStr">
        <is>
          <t>-</t>
        </is>
      </c>
      <c r="F12" s="47" t="inlineStr">
        <is>
          <t>-</t>
        </is>
      </c>
      <c r="G12" s="47" t="inlineStr">
        <is>
          <t>-</t>
        </is>
      </c>
      <c r="H12" s="47" t="inlineStr">
        <is>
          <t>-</t>
        </is>
      </c>
      <c r="I12" s="47" t="inlineStr">
        <is>
          <t>-</t>
        </is>
      </c>
      <c r="J12" s="47" t="inlineStr">
        <is>
          <t>-</t>
        </is>
      </c>
      <c r="K12" s="49" t="inlineStr">
        <is>
          <t>1</t>
        </is>
      </c>
      <c r="L12" s="49" t="inlineStr">
        <is>
          <t>9.1</t>
        </is>
      </c>
      <c r="M12" s="49" t="inlineStr">
        <is>
          <t>1</t>
        </is>
      </c>
      <c r="N12" s="49" t="inlineStr">
        <is>
          <t>9.1</t>
        </is>
      </c>
      <c r="O12" s="49" t="inlineStr">
        <is>
          <t>4</t>
        </is>
      </c>
      <c r="P12" s="49" t="inlineStr">
        <is>
          <t>36.4</t>
        </is>
      </c>
      <c r="Q12" s="47" t="inlineStr">
        <is>
          <t>-</t>
        </is>
      </c>
      <c r="R12" s="47" t="inlineStr">
        <is>
          <t>-</t>
        </is>
      </c>
      <c r="S12" s="50" t="inlineStr">
        <is>
          <t>1</t>
        </is>
      </c>
      <c r="T12" s="50" t="inlineStr">
        <is>
          <t>9.1</t>
        </is>
      </c>
      <c r="U12" s="50" t="inlineStr">
        <is>
          <t>1</t>
        </is>
      </c>
      <c r="V12" s="50" t="inlineStr">
        <is>
          <t>9.1</t>
        </is>
      </c>
      <c r="W12" s="50" t="inlineStr">
        <is>
          <t>3</t>
        </is>
      </c>
      <c r="X12" s="50" t="inlineStr">
        <is>
          <t>27.3</t>
        </is>
      </c>
      <c r="Y12" s="47" t="inlineStr">
        <is>
          <t>-</t>
        </is>
      </c>
      <c r="Z12" s="47" t="inlineStr">
        <is>
          <t>-</t>
        </is>
      </c>
      <c r="AA12" s="52" t="inlineStr">
        <is>
          <t>63.6%</t>
        </is>
      </c>
      <c r="AB12" s="76" t="inlineStr">
        <is>
          <t>6.27</t>
        </is>
      </c>
    </row>
    <row r="13" ht="18" customHeight="1">
      <c r="A13" s="53" t="n">
        <v>4</v>
      </c>
      <c r="B13" s="54" t="inlineStr">
        <is>
          <t>5 SAINS GUNAAN</t>
        </is>
      </c>
      <c r="C13" s="55" t="n">
        <v>21</v>
      </c>
      <c r="D13" s="55" t="n">
        <v>21</v>
      </c>
      <c r="E13" s="56" t="inlineStr">
        <is>
          <t>-</t>
        </is>
      </c>
      <c r="F13" s="56" t="inlineStr">
        <is>
          <t>-</t>
        </is>
      </c>
      <c r="G13" s="56" t="inlineStr">
        <is>
          <t>-</t>
        </is>
      </c>
      <c r="H13" s="56" t="inlineStr">
        <is>
          <t>-</t>
        </is>
      </c>
      <c r="I13" s="57" t="inlineStr">
        <is>
          <t>3</t>
        </is>
      </c>
      <c r="J13" s="57" t="inlineStr">
        <is>
          <t>14.3</t>
        </is>
      </c>
      <c r="K13" s="56" t="inlineStr">
        <is>
          <t>-</t>
        </is>
      </c>
      <c r="L13" s="56" t="inlineStr">
        <is>
          <t>-</t>
        </is>
      </c>
      <c r="M13" s="58" t="inlineStr">
        <is>
          <t>3</t>
        </is>
      </c>
      <c r="N13" s="58" t="inlineStr">
        <is>
          <t>14.3</t>
        </is>
      </c>
      <c r="O13" s="58" t="inlineStr">
        <is>
          <t>1</t>
        </is>
      </c>
      <c r="P13" s="58" t="inlineStr">
        <is>
          <t>4.8</t>
        </is>
      </c>
      <c r="Q13" s="59" t="inlineStr">
        <is>
          <t>7</t>
        </is>
      </c>
      <c r="R13" s="59" t="inlineStr">
        <is>
          <t>33.3</t>
        </is>
      </c>
      <c r="S13" s="60" t="inlineStr">
        <is>
          <t>1</t>
        </is>
      </c>
      <c r="T13" s="60" t="inlineStr">
        <is>
          <t>4.8</t>
        </is>
      </c>
      <c r="U13" s="60" t="inlineStr">
        <is>
          <t>4</t>
        </is>
      </c>
      <c r="V13" s="60" t="inlineStr">
        <is>
          <t>19.0</t>
        </is>
      </c>
      <c r="W13" s="60" t="inlineStr">
        <is>
          <t>2</t>
        </is>
      </c>
      <c r="X13" s="60" t="inlineStr">
        <is>
          <t>9.5</t>
        </is>
      </c>
      <c r="Y13" s="56" t="inlineStr">
        <is>
          <t>-</t>
        </is>
      </c>
      <c r="Z13" s="56" t="inlineStr">
        <is>
          <t>-</t>
        </is>
      </c>
      <c r="AA13" s="81" t="inlineStr">
        <is>
          <t>71.4%</t>
        </is>
      </c>
      <c r="AB13" s="82" t="inlineStr">
        <is>
          <t>5.81</t>
        </is>
      </c>
    </row>
    <row r="14" ht="18" customHeight="1">
      <c r="A14" s="44" t="n">
        <v>5</v>
      </c>
      <c r="B14" s="45" t="inlineStr">
        <is>
          <t>5 SENI</t>
        </is>
      </c>
      <c r="C14" s="46" t="n">
        <v>14</v>
      </c>
      <c r="D14" s="46" t="n">
        <v>12</v>
      </c>
      <c r="E14" s="47" t="inlineStr">
        <is>
          <t>-</t>
        </is>
      </c>
      <c r="F14" s="47" t="inlineStr">
        <is>
          <t>-</t>
        </is>
      </c>
      <c r="G14" s="47" t="inlineStr">
        <is>
          <t>-</t>
        </is>
      </c>
      <c r="H14" s="47" t="inlineStr">
        <is>
          <t>-</t>
        </is>
      </c>
      <c r="I14" s="47" t="inlineStr">
        <is>
          <t>-</t>
        </is>
      </c>
      <c r="J14" s="47" t="inlineStr">
        <is>
          <t>-</t>
        </is>
      </c>
      <c r="K14" s="47" t="inlineStr">
        <is>
          <t>-</t>
        </is>
      </c>
      <c r="L14" s="47" t="inlineStr">
        <is>
          <t>-</t>
        </is>
      </c>
      <c r="M14" s="47" t="inlineStr">
        <is>
          <t>-</t>
        </is>
      </c>
      <c r="N14" s="47" t="inlineStr">
        <is>
          <t>-</t>
        </is>
      </c>
      <c r="O14" s="47" t="inlineStr">
        <is>
          <t>-</t>
        </is>
      </c>
      <c r="P14" s="47" t="inlineStr">
        <is>
          <t>-</t>
        </is>
      </c>
      <c r="Q14" s="47" t="inlineStr">
        <is>
          <t>-</t>
        </is>
      </c>
      <c r="R14" s="47" t="inlineStr">
        <is>
          <t>-</t>
        </is>
      </c>
      <c r="S14" s="50" t="inlineStr">
        <is>
          <t>1</t>
        </is>
      </c>
      <c r="T14" s="50" t="inlineStr">
        <is>
          <t>7.1</t>
        </is>
      </c>
      <c r="U14" s="47" t="inlineStr">
        <is>
          <t>-</t>
        </is>
      </c>
      <c r="V14" s="47" t="inlineStr">
        <is>
          <t>-</t>
        </is>
      </c>
      <c r="W14" s="50" t="inlineStr">
        <is>
          <t>11</t>
        </is>
      </c>
      <c r="X14" s="50" t="inlineStr">
        <is>
          <t>78.6</t>
        </is>
      </c>
      <c r="Y14" s="50" t="inlineStr">
        <is>
          <t>2</t>
        </is>
      </c>
      <c r="Z14" s="50" t="inlineStr">
        <is>
          <t>14.3</t>
        </is>
      </c>
      <c r="AA14" s="64" t="inlineStr">
        <is>
          <t>0.0%</t>
        </is>
      </c>
      <c r="AB14" s="64" t="inlineStr">
        <is>
          <t>8.83</t>
        </is>
      </c>
    </row>
    <row r="15" ht="20" customHeight="1">
      <c r="A15" s="30" t="inlineStr">
        <is>
          <t>JUMLAH / GP</t>
        </is>
      </c>
      <c r="C15" s="65" t="n">
        <v>85</v>
      </c>
      <c r="D15" s="65" t="n">
        <v>81</v>
      </c>
      <c r="E15" s="66" t="inlineStr">
        <is>
          <t>-</t>
        </is>
      </c>
      <c r="F15" s="66" t="inlineStr">
        <is>
          <t>-</t>
        </is>
      </c>
      <c r="G15" s="66" t="inlineStr">
        <is>
          <t>-</t>
        </is>
      </c>
      <c r="H15" s="66" t="inlineStr">
        <is>
          <t>-</t>
        </is>
      </c>
      <c r="I15" s="67" t="inlineStr">
        <is>
          <t>4</t>
        </is>
      </c>
      <c r="J15" s="67" t="inlineStr">
        <is>
          <t>4.7</t>
        </is>
      </c>
      <c r="K15" s="68" t="inlineStr">
        <is>
          <t>2</t>
        </is>
      </c>
      <c r="L15" s="68" t="inlineStr">
        <is>
          <t>2.4</t>
        </is>
      </c>
      <c r="M15" s="68" t="inlineStr">
        <is>
          <t>5</t>
        </is>
      </c>
      <c r="N15" s="68" t="inlineStr">
        <is>
          <t>5.9</t>
        </is>
      </c>
      <c r="O15" s="68" t="inlineStr">
        <is>
          <t>5</t>
        </is>
      </c>
      <c r="P15" s="68" t="inlineStr">
        <is>
          <t>5.9</t>
        </is>
      </c>
      <c r="Q15" s="69" t="inlineStr">
        <is>
          <t>9</t>
        </is>
      </c>
      <c r="R15" s="69" t="inlineStr">
        <is>
          <t>10.6</t>
        </is>
      </c>
      <c r="S15" s="70" t="inlineStr">
        <is>
          <t>7</t>
        </is>
      </c>
      <c r="T15" s="70" t="inlineStr">
        <is>
          <t>8.2</t>
        </is>
      </c>
      <c r="U15" s="70" t="inlineStr">
        <is>
          <t>14</t>
        </is>
      </c>
      <c r="V15" s="70" t="inlineStr">
        <is>
          <t>16.5</t>
        </is>
      </c>
      <c r="W15" s="70" t="inlineStr">
        <is>
          <t>35</t>
        </is>
      </c>
      <c r="X15" s="70" t="inlineStr">
        <is>
          <t>41.2</t>
        </is>
      </c>
      <c r="Y15" s="70" t="inlineStr">
        <is>
          <t>4</t>
        </is>
      </c>
      <c r="Z15" s="70" t="inlineStr">
        <is>
          <t>4.7</t>
        </is>
      </c>
      <c r="AA15" s="70" t="inlineStr">
        <is>
          <t>34.57%</t>
        </is>
      </c>
      <c r="AB15" s="70" t="inlineStr">
        <is>
          <t>7.27</t>
        </is>
      </c>
    </row>
    <row r="17" ht="22" customHeight="1">
      <c r="A17" s="30" t="inlineStr">
        <is>
          <t>STATUS PENCAPAIAN</t>
        </is>
      </c>
      <c r="E17" s="17" t="inlineStr">
        <is>
          <t>🚨 KRITIKAL   |   GP: 7.27   |   % LULUS: 34.57%</t>
        </is>
      </c>
    </row>
    <row r="19" ht="15" customHeight="1">
      <c r="A19" s="71" t="inlineStr">
        <is>
          <t>🏆 CEMERLANG  GP ≤ 2.0</t>
        </is>
      </c>
      <c r="F19" s="72" t="inlineStr">
        <is>
          <t>✅ BAIK  GP 2.01–3.00</t>
        </is>
      </c>
      <c r="K19" s="73" t="inlineStr">
        <is>
          <t>⚠️ SEDERHANA  GP 3.01–5.00</t>
        </is>
      </c>
      <c r="P19" s="74" t="inlineStr">
        <is>
          <t>⛔ LEMAH  GP 5.01–7.00</t>
        </is>
      </c>
      <c r="U19" s="75" t="inlineStr">
        <is>
          <t>🚨 KRITIKAL  GP &gt; 7.00</t>
        </is>
      </c>
    </row>
    <row r="21">
      <c r="AF21" t="inlineStr">
        <is>
          <t>KELAS</t>
        </is>
      </c>
      <c r="AG21" t="inlineStr">
        <is>
          <t>% LULUS</t>
        </is>
      </c>
      <c r="AH21" t="inlineStr">
        <is>
          <t>GP</t>
        </is>
      </c>
      <c r="AI21" t="inlineStr">
        <is>
          <t>A+</t>
        </is>
      </c>
      <c r="AJ21" t="inlineStr">
        <is>
          <t>A</t>
        </is>
      </c>
      <c r="AK21" t="inlineStr">
        <is>
          <t>A-</t>
        </is>
      </c>
      <c r="AL21" t="inlineStr">
        <is>
          <t>B+</t>
        </is>
      </c>
      <c r="AM21" t="inlineStr">
        <is>
          <t>B</t>
        </is>
      </c>
      <c r="AN21" t="inlineStr">
        <is>
          <t>C+</t>
        </is>
      </c>
      <c r="AO21" t="inlineStr">
        <is>
          <t>C</t>
        </is>
      </c>
      <c r="AP21" t="inlineStr">
        <is>
          <t>D</t>
        </is>
      </c>
      <c r="AQ21" t="inlineStr">
        <is>
          <t>E</t>
        </is>
      </c>
      <c r="AR21" t="inlineStr">
        <is>
          <t>G</t>
        </is>
      </c>
      <c r="AS21" t="inlineStr">
        <is>
          <t>TH</t>
        </is>
      </c>
    </row>
    <row r="22">
      <c r="AF22" t="inlineStr">
        <is>
          <t>5 AKAUN</t>
        </is>
      </c>
      <c r="AG22" t="n">
        <v>28.6</v>
      </c>
      <c r="AH22" t="n">
        <v>7.71</v>
      </c>
      <c r="AI22" t="n">
        <v>0</v>
      </c>
      <c r="AJ22" t="n">
        <v>0</v>
      </c>
      <c r="AK22" t="n">
        <v>1</v>
      </c>
      <c r="AL22" t="n">
        <v>1</v>
      </c>
      <c r="AM22" t="n">
        <v>0</v>
      </c>
      <c r="AN22" t="n">
        <v>0</v>
      </c>
      <c r="AO22" t="n">
        <v>1</v>
      </c>
      <c r="AP22" t="n">
        <v>3</v>
      </c>
      <c r="AQ22" t="n">
        <v>5</v>
      </c>
      <c r="AR22" t="n">
        <v>10</v>
      </c>
      <c r="AS22" t="n">
        <v>0</v>
      </c>
    </row>
    <row r="23">
      <c r="AF23" t="inlineStr">
        <is>
          <t>5 EKONOMI</t>
        </is>
      </c>
      <c r="AG23" t="n">
        <v>6.2</v>
      </c>
      <c r="AH23" t="n">
        <v>8.130000000000001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1</v>
      </c>
      <c r="AP23" t="n">
        <v>1</v>
      </c>
      <c r="AQ23" t="n">
        <v>4</v>
      </c>
      <c r="AR23" t="n">
        <v>9</v>
      </c>
      <c r="AS23" t="n">
        <v>2</v>
      </c>
    </row>
    <row r="24">
      <c r="AF24" t="inlineStr">
        <is>
          <t>5 SAINS</t>
        </is>
      </c>
      <c r="AG24" t="n">
        <v>63.6</v>
      </c>
      <c r="AH24" t="n">
        <v>6.27</v>
      </c>
      <c r="AI24" t="n">
        <v>0</v>
      </c>
      <c r="AJ24" t="n">
        <v>0</v>
      </c>
      <c r="AK24" t="n">
        <v>0</v>
      </c>
      <c r="AL24" t="n">
        <v>1</v>
      </c>
      <c r="AM24" t="n">
        <v>1</v>
      </c>
      <c r="AN24" t="n">
        <v>4</v>
      </c>
      <c r="AO24" t="n">
        <v>0</v>
      </c>
      <c r="AP24" t="n">
        <v>1</v>
      </c>
      <c r="AQ24" t="n">
        <v>1</v>
      </c>
      <c r="AR24" t="n">
        <v>3</v>
      </c>
      <c r="AS24" t="n">
        <v>0</v>
      </c>
    </row>
    <row r="25">
      <c r="AF25" t="inlineStr">
        <is>
          <t>5 SAINS GUNAAN</t>
        </is>
      </c>
      <c r="AG25" t="n">
        <v>71.40000000000001</v>
      </c>
      <c r="AH25" t="n">
        <v>5.81</v>
      </c>
      <c r="AI25" t="n">
        <v>0</v>
      </c>
      <c r="AJ25" t="n">
        <v>0</v>
      </c>
      <c r="AK25" t="n">
        <v>3</v>
      </c>
      <c r="AL25" t="n">
        <v>0</v>
      </c>
      <c r="AM25" t="n">
        <v>3</v>
      </c>
      <c r="AN25" t="n">
        <v>1</v>
      </c>
      <c r="AO25" t="n">
        <v>7</v>
      </c>
      <c r="AP25" t="n">
        <v>1</v>
      </c>
      <c r="AQ25" t="n">
        <v>4</v>
      </c>
      <c r="AR25" t="n">
        <v>2</v>
      </c>
      <c r="AS25" t="n">
        <v>0</v>
      </c>
    </row>
    <row r="26">
      <c r="AF26" t="inlineStr">
        <is>
          <t>5 SENI</t>
        </is>
      </c>
      <c r="AG26" t="n">
        <v>0</v>
      </c>
      <c r="AH26" t="n">
        <v>8.83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11</v>
      </c>
      <c r="AS26" t="n">
        <v>2</v>
      </c>
    </row>
  </sheetData>
  <mergeCells count="33">
    <mergeCell ref="E17:AB17"/>
    <mergeCell ref="A2:AB2"/>
    <mergeCell ref="A17:D17"/>
    <mergeCell ref="A15:B15"/>
    <mergeCell ref="Q5:V5"/>
    <mergeCell ref="F19:J19"/>
    <mergeCell ref="B8:B9"/>
    <mergeCell ref="Q8:R8"/>
    <mergeCell ref="K8:P8"/>
    <mergeCell ref="Q6:V6"/>
    <mergeCell ref="AB8:AB9"/>
    <mergeCell ref="L5:P5"/>
    <mergeCell ref="G6:K6"/>
    <mergeCell ref="A8:A9"/>
    <mergeCell ref="C8:C9"/>
    <mergeCell ref="S8:V8"/>
    <mergeCell ref="D8:D9"/>
    <mergeCell ref="A1:AB1"/>
    <mergeCell ref="G5:K5"/>
    <mergeCell ref="P19:T19"/>
    <mergeCell ref="W8:X8"/>
    <mergeCell ref="B6:F6"/>
    <mergeCell ref="W6:AB6"/>
    <mergeCell ref="AA8:AA9"/>
    <mergeCell ref="L6:P6"/>
    <mergeCell ref="B5:F5"/>
    <mergeCell ref="A19:E19"/>
    <mergeCell ref="W5:AB5"/>
    <mergeCell ref="E8:J8"/>
    <mergeCell ref="U19:Y19"/>
    <mergeCell ref="K19:O19"/>
    <mergeCell ref="Y8:Z8"/>
    <mergeCell ref="A3:AB3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S24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8" customWidth="1" min="3" max="3"/>
    <col width="8" customWidth="1" min="4" max="4"/>
    <col width="5" customWidth="1" min="5" max="5"/>
    <col width="6" customWidth="1" min="6" max="6"/>
    <col width="5" customWidth="1" min="7" max="7"/>
    <col width="6" customWidth="1" min="8" max="8"/>
    <col width="5" customWidth="1" min="9" max="9"/>
    <col width="6" customWidth="1" min="10" max="10"/>
    <col width="5" customWidth="1" min="11" max="11"/>
    <col width="6" customWidth="1" min="12" max="12"/>
    <col width="5" customWidth="1" min="13" max="13"/>
    <col width="6" customWidth="1" min="14" max="14"/>
    <col width="5" customWidth="1" min="15" max="15"/>
    <col width="6" customWidth="1" min="16" max="16"/>
    <col width="5" customWidth="1" min="17" max="17"/>
    <col width="6" customWidth="1" min="18" max="18"/>
    <col width="5" customWidth="1" min="19" max="19"/>
    <col width="6" customWidth="1" min="20" max="20"/>
    <col width="5" customWidth="1" min="21" max="21"/>
    <col width="6" customWidth="1" min="22" max="22"/>
    <col width="5" customWidth="1" min="23" max="23"/>
    <col width="6" customWidth="1" min="24" max="24"/>
    <col width="5" customWidth="1" min="25" max="25"/>
    <col width="6" customWidth="1" min="26" max="26"/>
    <col width="10" customWidth="1" min="27" max="27"/>
    <col width="8" customWidth="1" min="28" max="28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</cols>
  <sheetData>
    <row r="1" ht="28" customHeight="1">
      <c r="A1" s="23" t="inlineStr">
        <is>
          <t>SEKOLAH MENENGAH KEBANGSAAN KELANA JAYA</t>
        </is>
      </c>
    </row>
    <row r="2" ht="20" customHeight="1">
      <c r="A2" s="24" t="inlineStr">
        <is>
          <t>ANALISIS PEPERIKSAAN PERTENGAHAN TAHUN 2026 — TINGKATAN 5</t>
        </is>
      </c>
    </row>
    <row r="3" ht="24" customHeight="1">
      <c r="A3" s="25" t="inlineStr">
        <is>
          <t>1225  PENDIDIKAN MORAL</t>
        </is>
      </c>
    </row>
    <row r="5" ht="16" customHeight="1">
      <c r="B5" s="26" t="inlineStr">
        <is>
          <t>JLH DAFTAR</t>
        </is>
      </c>
      <c r="G5" s="26" t="inlineStr">
        <is>
          <t>JLH HADIR</t>
        </is>
      </c>
      <c r="L5" s="26" t="inlineStr">
        <is>
          <t>% LULUS</t>
        </is>
      </c>
      <c r="Q5" s="26" t="inlineStr">
        <is>
          <t>GRED PURATA (GP)</t>
        </is>
      </c>
      <c r="W5" s="26" t="inlineStr">
        <is>
          <t>STATUS</t>
        </is>
      </c>
    </row>
    <row r="6" ht="22" customHeight="1">
      <c r="B6" s="27" t="n">
        <v>13</v>
      </c>
      <c r="G6" s="27" t="n">
        <v>12</v>
      </c>
      <c r="L6" s="29" t="inlineStr">
        <is>
          <t>58.33%</t>
        </is>
      </c>
      <c r="Q6" s="79" t="inlineStr">
        <is>
          <t>5.17</t>
        </is>
      </c>
      <c r="W6" s="79" t="inlineStr">
        <is>
          <t>⛔ LEMAH</t>
        </is>
      </c>
    </row>
    <row r="8" ht="18" customHeight="1">
      <c r="A8" s="30" t="inlineStr">
        <is>
          <t>BIL</t>
        </is>
      </c>
      <c r="B8" s="30" t="inlineStr">
        <is>
          <t>KELAS</t>
        </is>
      </c>
      <c r="C8" s="30" t="inlineStr">
        <is>
          <t>DAFTAR</t>
        </is>
      </c>
      <c r="D8" s="30" t="inlineStr">
        <is>
          <t>HADIR</t>
        </is>
      </c>
      <c r="E8" s="31" t="inlineStr">
        <is>
          <t>CEMERLANG</t>
        </is>
      </c>
      <c r="K8" s="32" t="inlineStr">
        <is>
          <t>SEDERHANA</t>
        </is>
      </c>
      <c r="Q8" s="33" t="inlineStr">
        <is>
          <t>LULUS</t>
        </is>
      </c>
      <c r="S8" s="34" t="inlineStr">
        <is>
          <t>GAGAL</t>
        </is>
      </c>
      <c r="W8" s="35" t="inlineStr">
        <is>
          <t>GAGAL (G)</t>
        </is>
      </c>
      <c r="Y8" s="36" t="inlineStr">
        <is>
          <t>TH</t>
        </is>
      </c>
      <c r="AA8" s="37" t="inlineStr">
        <is>
          <t>% LULUS</t>
        </is>
      </c>
      <c r="AB8" s="30" t="inlineStr">
        <is>
          <t>GP</t>
        </is>
      </c>
    </row>
    <row r="9" ht="15" customHeight="1">
      <c r="E9" s="38" t="inlineStr">
        <is>
          <t>A+</t>
        </is>
      </c>
      <c r="F9" s="38" t="inlineStr">
        <is>
          <t>%</t>
        </is>
      </c>
      <c r="G9" s="38" t="inlineStr">
        <is>
          <t>A</t>
        </is>
      </c>
      <c r="H9" s="38" t="inlineStr">
        <is>
          <t>%</t>
        </is>
      </c>
      <c r="I9" s="38" t="inlineStr">
        <is>
          <t>A-</t>
        </is>
      </c>
      <c r="J9" s="38" t="inlineStr">
        <is>
          <t>%</t>
        </is>
      </c>
      <c r="K9" s="39" t="inlineStr">
        <is>
          <t>B+</t>
        </is>
      </c>
      <c r="L9" s="39" t="inlineStr">
        <is>
          <t>%</t>
        </is>
      </c>
      <c r="M9" s="39" t="inlineStr">
        <is>
          <t>B</t>
        </is>
      </c>
      <c r="N9" s="39" t="inlineStr">
        <is>
          <t>%</t>
        </is>
      </c>
      <c r="O9" s="39" t="inlineStr">
        <is>
          <t>C+</t>
        </is>
      </c>
      <c r="P9" s="39" t="inlineStr">
        <is>
          <t>%</t>
        </is>
      </c>
      <c r="Q9" s="40" t="inlineStr">
        <is>
          <t>C</t>
        </is>
      </c>
      <c r="R9" s="40" t="inlineStr">
        <is>
          <t>%</t>
        </is>
      </c>
      <c r="S9" s="41" t="inlineStr">
        <is>
          <t>D</t>
        </is>
      </c>
      <c r="T9" s="41" t="inlineStr">
        <is>
          <t>%</t>
        </is>
      </c>
      <c r="U9" s="41" t="inlineStr">
        <is>
          <t>E</t>
        </is>
      </c>
      <c r="V9" s="41" t="inlineStr">
        <is>
          <t>%</t>
        </is>
      </c>
      <c r="W9" s="42" t="inlineStr">
        <is>
          <t>G</t>
        </is>
      </c>
      <c r="X9" s="42" t="inlineStr">
        <is>
          <t>%</t>
        </is>
      </c>
      <c r="Y9" s="43" t="inlineStr">
        <is>
          <t>TH</t>
        </is>
      </c>
      <c r="Z9" s="43" t="inlineStr">
        <is>
          <t>%</t>
        </is>
      </c>
    </row>
    <row r="10" ht="18" customHeight="1">
      <c r="A10" s="44" t="n">
        <v>1</v>
      </c>
      <c r="B10" s="45" t="inlineStr">
        <is>
          <t>5 AKAUN</t>
        </is>
      </c>
      <c r="C10" s="46" t="n">
        <v>3</v>
      </c>
      <c r="D10" s="46" t="n">
        <v>3</v>
      </c>
      <c r="E10" s="48" t="inlineStr">
        <is>
          <t>3</t>
        </is>
      </c>
      <c r="F10" s="48" t="inlineStr">
        <is>
          <t>100.0</t>
        </is>
      </c>
      <c r="G10" s="47" t="inlineStr">
        <is>
          <t>-</t>
        </is>
      </c>
      <c r="H10" s="47" t="inlineStr">
        <is>
          <t>-</t>
        </is>
      </c>
      <c r="I10" s="47" t="inlineStr">
        <is>
          <t>-</t>
        </is>
      </c>
      <c r="J10" s="47" t="inlineStr">
        <is>
          <t>-</t>
        </is>
      </c>
      <c r="K10" s="47" t="inlineStr">
        <is>
          <t>-</t>
        </is>
      </c>
      <c r="L10" s="47" t="inlineStr">
        <is>
          <t>-</t>
        </is>
      </c>
      <c r="M10" s="47" t="inlineStr">
        <is>
          <t>-</t>
        </is>
      </c>
      <c r="N10" s="47" t="inlineStr">
        <is>
          <t>-</t>
        </is>
      </c>
      <c r="O10" s="47" t="inlineStr">
        <is>
          <t>-</t>
        </is>
      </c>
      <c r="P10" s="47" t="inlineStr">
        <is>
          <t>-</t>
        </is>
      </c>
      <c r="Q10" s="47" t="inlineStr">
        <is>
          <t>-</t>
        </is>
      </c>
      <c r="R10" s="47" t="inlineStr">
        <is>
          <t>-</t>
        </is>
      </c>
      <c r="S10" s="47" t="inlineStr">
        <is>
          <t>-</t>
        </is>
      </c>
      <c r="T10" s="47" t="inlineStr">
        <is>
          <t>-</t>
        </is>
      </c>
      <c r="U10" s="47" t="inlineStr">
        <is>
          <t>-</t>
        </is>
      </c>
      <c r="V10" s="47" t="inlineStr">
        <is>
          <t>-</t>
        </is>
      </c>
      <c r="W10" s="47" t="inlineStr">
        <is>
          <t>-</t>
        </is>
      </c>
      <c r="X10" s="47" t="inlineStr">
        <is>
          <t>-</t>
        </is>
      </c>
      <c r="Y10" s="47" t="inlineStr">
        <is>
          <t>-</t>
        </is>
      </c>
      <c r="Z10" s="47" t="inlineStr">
        <is>
          <t>-</t>
        </is>
      </c>
      <c r="AA10" s="51" t="inlineStr">
        <is>
          <t>100.0%</t>
        </is>
      </c>
      <c r="AB10" s="51" t="inlineStr">
        <is>
          <t>1.00</t>
        </is>
      </c>
    </row>
    <row r="11" ht="18" customHeight="1">
      <c r="A11" s="53" t="n">
        <v>2</v>
      </c>
      <c r="B11" s="54" t="inlineStr">
        <is>
          <t>5 EKONOMI</t>
        </is>
      </c>
      <c r="C11" s="55" t="n">
        <v>2</v>
      </c>
      <c r="D11" s="55" t="n">
        <v>2</v>
      </c>
      <c r="E11" s="56" t="inlineStr">
        <is>
          <t>-</t>
        </is>
      </c>
      <c r="F11" s="56" t="inlineStr">
        <is>
          <t>-</t>
        </is>
      </c>
      <c r="G11" s="56" t="inlineStr">
        <is>
          <t>-</t>
        </is>
      </c>
      <c r="H11" s="56" t="inlineStr">
        <is>
          <t>-</t>
        </is>
      </c>
      <c r="I11" s="56" t="inlineStr">
        <is>
          <t>-</t>
        </is>
      </c>
      <c r="J11" s="56" t="inlineStr">
        <is>
          <t>-</t>
        </is>
      </c>
      <c r="K11" s="56" t="inlineStr">
        <is>
          <t>-</t>
        </is>
      </c>
      <c r="L11" s="56" t="inlineStr">
        <is>
          <t>-</t>
        </is>
      </c>
      <c r="M11" s="56" t="inlineStr">
        <is>
          <t>-</t>
        </is>
      </c>
      <c r="N11" s="56" t="inlineStr">
        <is>
          <t>-</t>
        </is>
      </c>
      <c r="O11" s="56" t="inlineStr">
        <is>
          <t>-</t>
        </is>
      </c>
      <c r="P11" s="56" t="inlineStr">
        <is>
          <t>-</t>
        </is>
      </c>
      <c r="Q11" s="59" t="inlineStr">
        <is>
          <t>1</t>
        </is>
      </c>
      <c r="R11" s="59" t="inlineStr">
        <is>
          <t>50.0</t>
        </is>
      </c>
      <c r="S11" s="56" t="inlineStr">
        <is>
          <t>-</t>
        </is>
      </c>
      <c r="T11" s="56" t="inlineStr">
        <is>
          <t>-</t>
        </is>
      </c>
      <c r="U11" s="56" t="inlineStr">
        <is>
          <t>-</t>
        </is>
      </c>
      <c r="V11" s="56" t="inlineStr">
        <is>
          <t>-</t>
        </is>
      </c>
      <c r="W11" s="60" t="inlineStr">
        <is>
          <t>1</t>
        </is>
      </c>
      <c r="X11" s="60" t="inlineStr">
        <is>
          <t>50.0</t>
        </is>
      </c>
      <c r="Y11" s="56" t="inlineStr">
        <is>
          <t>-</t>
        </is>
      </c>
      <c r="Z11" s="56" t="inlineStr">
        <is>
          <t>-</t>
        </is>
      </c>
      <c r="AA11" s="62" t="inlineStr">
        <is>
          <t>50.0%</t>
        </is>
      </c>
      <c r="AB11" s="78" t="inlineStr">
        <is>
          <t>7.50</t>
        </is>
      </c>
    </row>
    <row r="12" ht="18" customHeight="1">
      <c r="A12" s="44" t="n">
        <v>3</v>
      </c>
      <c r="B12" s="45" t="inlineStr">
        <is>
          <t>5 SAINS GUNAAN</t>
        </is>
      </c>
      <c r="C12" s="46" t="n">
        <v>2</v>
      </c>
      <c r="D12" s="46" t="n">
        <v>2</v>
      </c>
      <c r="E12" s="47" t="inlineStr">
        <is>
          <t>-</t>
        </is>
      </c>
      <c r="F12" s="47" t="inlineStr">
        <is>
          <t>-</t>
        </is>
      </c>
      <c r="G12" s="47" t="inlineStr">
        <is>
          <t>-</t>
        </is>
      </c>
      <c r="H12" s="47" t="inlineStr">
        <is>
          <t>-</t>
        </is>
      </c>
      <c r="I12" s="47" t="inlineStr">
        <is>
          <t>-</t>
        </is>
      </c>
      <c r="J12" s="47" t="inlineStr">
        <is>
          <t>-</t>
        </is>
      </c>
      <c r="K12" s="47" t="inlineStr">
        <is>
          <t>-</t>
        </is>
      </c>
      <c r="L12" s="47" t="inlineStr">
        <is>
          <t>-</t>
        </is>
      </c>
      <c r="M12" s="49" t="inlineStr">
        <is>
          <t>1</t>
        </is>
      </c>
      <c r="N12" s="49" t="inlineStr">
        <is>
          <t>50.0</t>
        </is>
      </c>
      <c r="O12" s="47" t="inlineStr">
        <is>
          <t>-</t>
        </is>
      </c>
      <c r="P12" s="47" t="inlineStr">
        <is>
          <t>-</t>
        </is>
      </c>
      <c r="Q12" s="47" t="inlineStr">
        <is>
          <t>-</t>
        </is>
      </c>
      <c r="R12" s="47" t="inlineStr">
        <is>
          <t>-</t>
        </is>
      </c>
      <c r="S12" s="50" t="inlineStr">
        <is>
          <t>1</t>
        </is>
      </c>
      <c r="T12" s="50" t="inlineStr">
        <is>
          <t>50.0</t>
        </is>
      </c>
      <c r="U12" s="47" t="inlineStr">
        <is>
          <t>-</t>
        </is>
      </c>
      <c r="V12" s="47" t="inlineStr">
        <is>
          <t>-</t>
        </is>
      </c>
      <c r="W12" s="47" t="inlineStr">
        <is>
          <t>-</t>
        </is>
      </c>
      <c r="X12" s="47" t="inlineStr">
        <is>
          <t>-</t>
        </is>
      </c>
      <c r="Y12" s="47" t="inlineStr">
        <is>
          <t>-</t>
        </is>
      </c>
      <c r="Z12" s="47" t="inlineStr">
        <is>
          <t>-</t>
        </is>
      </c>
      <c r="AA12" s="51" t="inlineStr">
        <is>
          <t>100.0%</t>
        </is>
      </c>
      <c r="AB12" s="76" t="inlineStr">
        <is>
          <t>5.50</t>
        </is>
      </c>
    </row>
    <row r="13" ht="18" customHeight="1">
      <c r="A13" s="53" t="n">
        <v>4</v>
      </c>
      <c r="B13" s="54" t="inlineStr">
        <is>
          <t>5 SENI</t>
        </is>
      </c>
      <c r="C13" s="55" t="n">
        <v>6</v>
      </c>
      <c r="D13" s="55" t="n">
        <v>5</v>
      </c>
      <c r="E13" s="56" t="inlineStr">
        <is>
          <t>-</t>
        </is>
      </c>
      <c r="F13" s="56" t="inlineStr">
        <is>
          <t>-</t>
        </is>
      </c>
      <c r="G13" s="56" t="inlineStr">
        <is>
          <t>-</t>
        </is>
      </c>
      <c r="H13" s="56" t="inlineStr">
        <is>
          <t>-</t>
        </is>
      </c>
      <c r="I13" s="57" t="inlineStr">
        <is>
          <t>1</t>
        </is>
      </c>
      <c r="J13" s="57" t="inlineStr">
        <is>
          <t>16.7</t>
        </is>
      </c>
      <c r="K13" s="56" t="inlineStr">
        <is>
          <t>-</t>
        </is>
      </c>
      <c r="L13" s="56" t="inlineStr">
        <is>
          <t>-</t>
        </is>
      </c>
      <c r="M13" s="56" t="inlineStr">
        <is>
          <t>-</t>
        </is>
      </c>
      <c r="N13" s="56" t="inlineStr">
        <is>
          <t>-</t>
        </is>
      </c>
      <c r="O13" s="56" t="inlineStr">
        <is>
          <t>-</t>
        </is>
      </c>
      <c r="P13" s="56" t="inlineStr">
        <is>
          <t>-</t>
        </is>
      </c>
      <c r="Q13" s="56" t="inlineStr">
        <is>
          <t>-</t>
        </is>
      </c>
      <c r="R13" s="56" t="inlineStr">
        <is>
          <t>-</t>
        </is>
      </c>
      <c r="S13" s="60" t="inlineStr">
        <is>
          <t>1</t>
        </is>
      </c>
      <c r="T13" s="60" t="inlineStr">
        <is>
          <t>16.7</t>
        </is>
      </c>
      <c r="U13" s="56" t="inlineStr">
        <is>
          <t>-</t>
        </is>
      </c>
      <c r="V13" s="56" t="inlineStr">
        <is>
          <t>-</t>
        </is>
      </c>
      <c r="W13" s="60" t="inlineStr">
        <is>
          <t>3</t>
        </is>
      </c>
      <c r="X13" s="60" t="inlineStr">
        <is>
          <t>50.0</t>
        </is>
      </c>
      <c r="Y13" s="60" t="inlineStr">
        <is>
          <t>1</t>
        </is>
      </c>
      <c r="Z13" s="60" t="inlineStr">
        <is>
          <t>16.7</t>
        </is>
      </c>
      <c r="AA13" s="78" t="inlineStr">
        <is>
          <t>20.0%</t>
        </is>
      </c>
      <c r="AB13" s="78" t="inlineStr">
        <is>
          <t>7.20</t>
        </is>
      </c>
    </row>
    <row r="14" ht="20" customHeight="1">
      <c r="A14" s="30" t="inlineStr">
        <is>
          <t>JUMLAH / GP</t>
        </is>
      </c>
      <c r="C14" s="65" t="n">
        <v>13</v>
      </c>
      <c r="D14" s="65" t="n">
        <v>12</v>
      </c>
      <c r="E14" s="67" t="inlineStr">
        <is>
          <t>3</t>
        </is>
      </c>
      <c r="F14" s="67" t="inlineStr">
        <is>
          <t>23.1</t>
        </is>
      </c>
      <c r="G14" s="66" t="inlineStr">
        <is>
          <t>-</t>
        </is>
      </c>
      <c r="H14" s="66" t="inlineStr">
        <is>
          <t>-</t>
        </is>
      </c>
      <c r="I14" s="67" t="inlineStr">
        <is>
          <t>1</t>
        </is>
      </c>
      <c r="J14" s="67" t="inlineStr">
        <is>
          <t>7.7</t>
        </is>
      </c>
      <c r="K14" s="66" t="inlineStr">
        <is>
          <t>-</t>
        </is>
      </c>
      <c r="L14" s="66" t="inlineStr">
        <is>
          <t>-</t>
        </is>
      </c>
      <c r="M14" s="68" t="inlineStr">
        <is>
          <t>1</t>
        </is>
      </c>
      <c r="N14" s="68" t="inlineStr">
        <is>
          <t>7.7</t>
        </is>
      </c>
      <c r="O14" s="66" t="inlineStr">
        <is>
          <t>-</t>
        </is>
      </c>
      <c r="P14" s="66" t="inlineStr">
        <is>
          <t>-</t>
        </is>
      </c>
      <c r="Q14" s="69" t="inlineStr">
        <is>
          <t>1</t>
        </is>
      </c>
      <c r="R14" s="69" t="inlineStr">
        <is>
          <t>7.7</t>
        </is>
      </c>
      <c r="S14" s="70" t="inlineStr">
        <is>
          <t>2</t>
        </is>
      </c>
      <c r="T14" s="70" t="inlineStr">
        <is>
          <t>15.4</t>
        </is>
      </c>
      <c r="U14" s="66" t="inlineStr">
        <is>
          <t>-</t>
        </is>
      </c>
      <c r="V14" s="66" t="inlineStr">
        <is>
          <t>-</t>
        </is>
      </c>
      <c r="W14" s="70" t="inlineStr">
        <is>
          <t>4</t>
        </is>
      </c>
      <c r="X14" s="70" t="inlineStr">
        <is>
          <t>30.8</t>
        </is>
      </c>
      <c r="Y14" s="70" t="inlineStr">
        <is>
          <t>1</t>
        </is>
      </c>
      <c r="Z14" s="70" t="inlineStr">
        <is>
          <t>7.7</t>
        </is>
      </c>
      <c r="AA14" s="68" t="inlineStr">
        <is>
          <t>58.33%</t>
        </is>
      </c>
      <c r="AB14" s="83" t="inlineStr">
        <is>
          <t>5.17</t>
        </is>
      </c>
    </row>
    <row r="16" ht="22" customHeight="1">
      <c r="A16" s="30" t="inlineStr">
        <is>
          <t>STATUS PENCAPAIAN</t>
        </is>
      </c>
      <c r="E16" s="20" t="inlineStr">
        <is>
          <t>⛔ LEMAH   |   GP: 5.17   |   % LULUS: 58.33%</t>
        </is>
      </c>
    </row>
    <row r="18" ht="15" customHeight="1">
      <c r="A18" s="71" t="inlineStr">
        <is>
          <t>🏆 CEMERLANG  GP ≤ 2.0</t>
        </is>
      </c>
      <c r="F18" s="72" t="inlineStr">
        <is>
          <t>✅ BAIK  GP 2.01–3.00</t>
        </is>
      </c>
      <c r="K18" s="73" t="inlineStr">
        <is>
          <t>⚠️ SEDERHANA  GP 3.01–5.00</t>
        </is>
      </c>
      <c r="P18" s="74" t="inlineStr">
        <is>
          <t>⛔ LEMAH  GP 5.01–7.00</t>
        </is>
      </c>
      <c r="U18" s="75" t="inlineStr">
        <is>
          <t>🚨 KRITIKAL  GP &gt; 7.00</t>
        </is>
      </c>
    </row>
    <row r="20">
      <c r="AF20" t="inlineStr">
        <is>
          <t>KELAS</t>
        </is>
      </c>
      <c r="AG20" t="inlineStr">
        <is>
          <t>% LULUS</t>
        </is>
      </c>
      <c r="AH20" t="inlineStr">
        <is>
          <t>GP</t>
        </is>
      </c>
      <c r="AI20" t="inlineStr">
        <is>
          <t>A+</t>
        </is>
      </c>
      <c r="AJ20" t="inlineStr">
        <is>
          <t>A</t>
        </is>
      </c>
      <c r="AK20" t="inlineStr">
        <is>
          <t>A-</t>
        </is>
      </c>
      <c r="AL20" t="inlineStr">
        <is>
          <t>B+</t>
        </is>
      </c>
      <c r="AM20" t="inlineStr">
        <is>
          <t>B</t>
        </is>
      </c>
      <c r="AN20" t="inlineStr">
        <is>
          <t>C+</t>
        </is>
      </c>
      <c r="AO20" t="inlineStr">
        <is>
          <t>C</t>
        </is>
      </c>
      <c r="AP20" t="inlineStr">
        <is>
          <t>D</t>
        </is>
      </c>
      <c r="AQ20" t="inlineStr">
        <is>
          <t>E</t>
        </is>
      </c>
      <c r="AR20" t="inlineStr">
        <is>
          <t>G</t>
        </is>
      </c>
      <c r="AS20" t="inlineStr">
        <is>
          <t>TH</t>
        </is>
      </c>
    </row>
    <row r="21">
      <c r="AF21" t="inlineStr">
        <is>
          <t>5 AKAUN</t>
        </is>
      </c>
      <c r="AG21" t="n">
        <v>100</v>
      </c>
      <c r="AH21" t="n">
        <v>1</v>
      </c>
      <c r="AI21" t="n">
        <v>3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</row>
    <row r="22">
      <c r="AF22" t="inlineStr">
        <is>
          <t>5 EKONOMI</t>
        </is>
      </c>
      <c r="AG22" t="n">
        <v>50</v>
      </c>
      <c r="AH22" t="n">
        <v>7.5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</v>
      </c>
      <c r="AP22" t="n">
        <v>0</v>
      </c>
      <c r="AQ22" t="n">
        <v>0</v>
      </c>
      <c r="AR22" t="n">
        <v>1</v>
      </c>
      <c r="AS22" t="n">
        <v>0</v>
      </c>
    </row>
    <row r="23">
      <c r="AF23" t="inlineStr">
        <is>
          <t>5 SAINS GUNAAN</t>
        </is>
      </c>
      <c r="AG23" t="n">
        <v>100</v>
      </c>
      <c r="AH23" t="n">
        <v>5.5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</row>
    <row r="24">
      <c r="AF24" t="inlineStr">
        <is>
          <t>5 SENI</t>
        </is>
      </c>
      <c r="AG24" t="n">
        <v>20</v>
      </c>
      <c r="AH24" t="n">
        <v>7.2</v>
      </c>
      <c r="AI24" t="n">
        <v>0</v>
      </c>
      <c r="AJ24" t="n">
        <v>0</v>
      </c>
      <c r="AK24" t="n">
        <v>1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3</v>
      </c>
      <c r="AS24" t="n">
        <v>1</v>
      </c>
    </row>
  </sheetData>
  <mergeCells count="33">
    <mergeCell ref="A2:AB2"/>
    <mergeCell ref="Q5:V5"/>
    <mergeCell ref="B8:B9"/>
    <mergeCell ref="Q8:R8"/>
    <mergeCell ref="K8:P8"/>
    <mergeCell ref="Q6:V6"/>
    <mergeCell ref="AB8:AB9"/>
    <mergeCell ref="F18:J18"/>
    <mergeCell ref="L5:P5"/>
    <mergeCell ref="G6:K6"/>
    <mergeCell ref="A18:E18"/>
    <mergeCell ref="A8:A9"/>
    <mergeCell ref="C8:C9"/>
    <mergeCell ref="S8:V8"/>
    <mergeCell ref="E16:AB16"/>
    <mergeCell ref="D8:D9"/>
    <mergeCell ref="A1:AB1"/>
    <mergeCell ref="G5:K5"/>
    <mergeCell ref="A14:B14"/>
    <mergeCell ref="A16:D16"/>
    <mergeCell ref="U18:Y18"/>
    <mergeCell ref="W8:X8"/>
    <mergeCell ref="P18:T18"/>
    <mergeCell ref="B6:F6"/>
    <mergeCell ref="W6:AB6"/>
    <mergeCell ref="AA8:AA9"/>
    <mergeCell ref="L6:P6"/>
    <mergeCell ref="B5:F5"/>
    <mergeCell ref="W5:AB5"/>
    <mergeCell ref="E8:J8"/>
    <mergeCell ref="Y8:Z8"/>
    <mergeCell ref="A3:AB3"/>
    <mergeCell ref="K18:O18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S18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8" customWidth="1" min="3" max="3"/>
    <col width="8" customWidth="1" min="4" max="4"/>
    <col width="5" customWidth="1" min="5" max="5"/>
    <col width="6" customWidth="1" min="6" max="6"/>
    <col width="5" customWidth="1" min="7" max="7"/>
    <col width="6" customWidth="1" min="8" max="8"/>
    <col width="5" customWidth="1" min="9" max="9"/>
    <col width="6" customWidth="1" min="10" max="10"/>
    <col width="5" customWidth="1" min="11" max="11"/>
    <col width="6" customWidth="1" min="12" max="12"/>
    <col width="5" customWidth="1" min="13" max="13"/>
    <col width="6" customWidth="1" min="14" max="14"/>
    <col width="5" customWidth="1" min="15" max="15"/>
    <col width="6" customWidth="1" min="16" max="16"/>
    <col width="5" customWidth="1" min="17" max="17"/>
    <col width="6" customWidth="1" min="18" max="18"/>
    <col width="5" customWidth="1" min="19" max="19"/>
    <col width="6" customWidth="1" min="20" max="20"/>
    <col width="5" customWidth="1" min="21" max="21"/>
    <col width="6" customWidth="1" min="22" max="22"/>
    <col width="5" customWidth="1" min="23" max="23"/>
    <col width="6" customWidth="1" min="24" max="24"/>
    <col width="5" customWidth="1" min="25" max="25"/>
    <col width="6" customWidth="1" min="26" max="26"/>
    <col width="10" customWidth="1" min="27" max="27"/>
    <col width="8" customWidth="1" min="28" max="28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</cols>
  <sheetData>
    <row r="1" ht="28" customHeight="1">
      <c r="A1" s="23" t="inlineStr">
        <is>
          <t>SEKOLAH MENENGAH KEBANGSAAN KELANA JAYA</t>
        </is>
      </c>
    </row>
    <row r="2" ht="20" customHeight="1">
      <c r="A2" s="24" t="inlineStr">
        <is>
          <t>ANALISIS PEPERIKSAAN PERTENGAHAN TAHUN 2026 — TINGKATAN 5</t>
        </is>
      </c>
    </row>
    <row r="3" ht="24" customHeight="1">
      <c r="A3" s="25" t="inlineStr">
        <is>
          <t>4551  BIOLOGI</t>
        </is>
      </c>
    </row>
    <row r="5" ht="16" customHeight="1">
      <c r="B5" s="26" t="inlineStr">
        <is>
          <t>JLH DAFTAR</t>
        </is>
      </c>
      <c r="G5" s="26" t="inlineStr">
        <is>
          <t>JLH HADIR</t>
        </is>
      </c>
      <c r="L5" s="26" t="inlineStr">
        <is>
          <t>% LULUS</t>
        </is>
      </c>
      <c r="Q5" s="26" t="inlineStr">
        <is>
          <t>GRED PURATA (GP)</t>
        </is>
      </c>
      <c r="W5" s="26" t="inlineStr">
        <is>
          <t>STATUS</t>
        </is>
      </c>
    </row>
    <row r="6" ht="22" customHeight="1">
      <c r="B6" s="27" t="n">
        <v>11</v>
      </c>
      <c r="G6" s="27" t="n">
        <v>11</v>
      </c>
      <c r="L6" s="77" t="inlineStr">
        <is>
          <t>18.18%</t>
        </is>
      </c>
      <c r="Q6" s="77" t="inlineStr">
        <is>
          <t>8.27</t>
        </is>
      </c>
      <c r="W6" s="77" t="inlineStr">
        <is>
          <t>🚨 KRITIKAL</t>
        </is>
      </c>
    </row>
    <row r="8" ht="18" customHeight="1">
      <c r="A8" s="30" t="inlineStr">
        <is>
          <t>BIL</t>
        </is>
      </c>
      <c r="B8" s="30" t="inlineStr">
        <is>
          <t>KELAS</t>
        </is>
      </c>
      <c r="C8" s="30" t="inlineStr">
        <is>
          <t>DAFTAR</t>
        </is>
      </c>
      <c r="D8" s="30" t="inlineStr">
        <is>
          <t>HADIR</t>
        </is>
      </c>
      <c r="E8" s="31" t="inlineStr">
        <is>
          <t>CEMERLANG</t>
        </is>
      </c>
      <c r="K8" s="32" t="inlineStr">
        <is>
          <t>SEDERHANA</t>
        </is>
      </c>
      <c r="Q8" s="33" t="inlineStr">
        <is>
          <t>LULUS</t>
        </is>
      </c>
      <c r="S8" s="34" t="inlineStr">
        <is>
          <t>GAGAL</t>
        </is>
      </c>
      <c r="W8" s="35" t="inlineStr">
        <is>
          <t>GAGAL (G)</t>
        </is>
      </c>
      <c r="Y8" s="36" t="inlineStr">
        <is>
          <t>TH</t>
        </is>
      </c>
      <c r="AA8" s="37" t="inlineStr">
        <is>
          <t>% LULUS</t>
        </is>
      </c>
      <c r="AB8" s="30" t="inlineStr">
        <is>
          <t>GP</t>
        </is>
      </c>
    </row>
    <row r="9" ht="15" customHeight="1">
      <c r="E9" s="38" t="inlineStr">
        <is>
          <t>A+</t>
        </is>
      </c>
      <c r="F9" s="38" t="inlineStr">
        <is>
          <t>%</t>
        </is>
      </c>
      <c r="G9" s="38" t="inlineStr">
        <is>
          <t>A</t>
        </is>
      </c>
      <c r="H9" s="38" t="inlineStr">
        <is>
          <t>%</t>
        </is>
      </c>
      <c r="I9" s="38" t="inlineStr">
        <is>
          <t>A-</t>
        </is>
      </c>
      <c r="J9" s="38" t="inlineStr">
        <is>
          <t>%</t>
        </is>
      </c>
      <c r="K9" s="39" t="inlineStr">
        <is>
          <t>B+</t>
        </is>
      </c>
      <c r="L9" s="39" t="inlineStr">
        <is>
          <t>%</t>
        </is>
      </c>
      <c r="M9" s="39" t="inlineStr">
        <is>
          <t>B</t>
        </is>
      </c>
      <c r="N9" s="39" t="inlineStr">
        <is>
          <t>%</t>
        </is>
      </c>
      <c r="O9" s="39" t="inlineStr">
        <is>
          <t>C+</t>
        </is>
      </c>
      <c r="P9" s="39" t="inlineStr">
        <is>
          <t>%</t>
        </is>
      </c>
      <c r="Q9" s="40" t="inlineStr">
        <is>
          <t>C</t>
        </is>
      </c>
      <c r="R9" s="40" t="inlineStr">
        <is>
          <t>%</t>
        </is>
      </c>
      <c r="S9" s="41" t="inlineStr">
        <is>
          <t>D</t>
        </is>
      </c>
      <c r="T9" s="41" t="inlineStr">
        <is>
          <t>%</t>
        </is>
      </c>
      <c r="U9" s="41" t="inlineStr">
        <is>
          <t>E</t>
        </is>
      </c>
      <c r="V9" s="41" t="inlineStr">
        <is>
          <t>%</t>
        </is>
      </c>
      <c r="W9" s="42" t="inlineStr">
        <is>
          <t>G</t>
        </is>
      </c>
      <c r="X9" s="42" t="inlineStr">
        <is>
          <t>%</t>
        </is>
      </c>
      <c r="Y9" s="43" t="inlineStr">
        <is>
          <t>TH</t>
        </is>
      </c>
      <c r="Z9" s="43" t="inlineStr">
        <is>
          <t>%</t>
        </is>
      </c>
    </row>
    <row r="10" ht="18" customHeight="1">
      <c r="A10" s="44" t="n">
        <v>1</v>
      </c>
      <c r="B10" s="45" t="inlineStr">
        <is>
          <t>5 SAINS</t>
        </is>
      </c>
      <c r="C10" s="46" t="n">
        <v>11</v>
      </c>
      <c r="D10" s="46" t="n">
        <v>11</v>
      </c>
      <c r="E10" s="47" t="inlineStr">
        <is>
          <t>-</t>
        </is>
      </c>
      <c r="F10" s="47" t="inlineStr">
        <is>
          <t>-</t>
        </is>
      </c>
      <c r="G10" s="47" t="inlineStr">
        <is>
          <t>-</t>
        </is>
      </c>
      <c r="H10" s="47" t="inlineStr">
        <is>
          <t>-</t>
        </is>
      </c>
      <c r="I10" s="47" t="inlineStr">
        <is>
          <t>-</t>
        </is>
      </c>
      <c r="J10" s="47" t="inlineStr">
        <is>
          <t>-</t>
        </is>
      </c>
      <c r="K10" s="49" t="inlineStr">
        <is>
          <t>1</t>
        </is>
      </c>
      <c r="L10" s="49" t="inlineStr">
        <is>
          <t>9.1</t>
        </is>
      </c>
      <c r="M10" s="47" t="inlineStr">
        <is>
          <t>-</t>
        </is>
      </c>
      <c r="N10" s="47" t="inlineStr">
        <is>
          <t>-</t>
        </is>
      </c>
      <c r="O10" s="47" t="inlineStr">
        <is>
          <t>-</t>
        </is>
      </c>
      <c r="P10" s="47" t="inlineStr">
        <is>
          <t>-</t>
        </is>
      </c>
      <c r="Q10" s="47" t="inlineStr">
        <is>
          <t>-</t>
        </is>
      </c>
      <c r="R10" s="47" t="inlineStr">
        <is>
          <t>-</t>
        </is>
      </c>
      <c r="S10" s="50" t="inlineStr">
        <is>
          <t>1</t>
        </is>
      </c>
      <c r="T10" s="50" t="inlineStr">
        <is>
          <t>9.1</t>
        </is>
      </c>
      <c r="U10" s="47" t="inlineStr">
        <is>
          <t>-</t>
        </is>
      </c>
      <c r="V10" s="47" t="inlineStr">
        <is>
          <t>-</t>
        </is>
      </c>
      <c r="W10" s="50" t="inlineStr">
        <is>
          <t>9</t>
        </is>
      </c>
      <c r="X10" s="50" t="inlineStr">
        <is>
          <t>81.8</t>
        </is>
      </c>
      <c r="Y10" s="47" t="inlineStr">
        <is>
          <t>-</t>
        </is>
      </c>
      <c r="Z10" s="47" t="inlineStr">
        <is>
          <t>-</t>
        </is>
      </c>
      <c r="AA10" s="64" t="inlineStr">
        <is>
          <t>18.2%</t>
        </is>
      </c>
      <c r="AB10" s="64" t="inlineStr">
        <is>
          <t>8.27</t>
        </is>
      </c>
    </row>
    <row r="11" ht="20" customHeight="1">
      <c r="A11" s="30" t="inlineStr">
        <is>
          <t>JUMLAH / GP</t>
        </is>
      </c>
      <c r="C11" s="65" t="n">
        <v>11</v>
      </c>
      <c r="D11" s="65" t="n">
        <v>11</v>
      </c>
      <c r="E11" s="66" t="inlineStr">
        <is>
          <t>-</t>
        </is>
      </c>
      <c r="F11" s="66" t="inlineStr">
        <is>
          <t>-</t>
        </is>
      </c>
      <c r="G11" s="66" t="inlineStr">
        <is>
          <t>-</t>
        </is>
      </c>
      <c r="H11" s="66" t="inlineStr">
        <is>
          <t>-</t>
        </is>
      </c>
      <c r="I11" s="66" t="inlineStr">
        <is>
          <t>-</t>
        </is>
      </c>
      <c r="J11" s="66" t="inlineStr">
        <is>
          <t>-</t>
        </is>
      </c>
      <c r="K11" s="68" t="inlineStr">
        <is>
          <t>1</t>
        </is>
      </c>
      <c r="L11" s="68" t="inlineStr">
        <is>
          <t>9.1</t>
        </is>
      </c>
      <c r="M11" s="66" t="inlineStr">
        <is>
          <t>-</t>
        </is>
      </c>
      <c r="N11" s="66" t="inlineStr">
        <is>
          <t>-</t>
        </is>
      </c>
      <c r="O11" s="66" t="inlineStr">
        <is>
          <t>-</t>
        </is>
      </c>
      <c r="P11" s="66" t="inlineStr">
        <is>
          <t>-</t>
        </is>
      </c>
      <c r="Q11" s="66" t="inlineStr">
        <is>
          <t>-</t>
        </is>
      </c>
      <c r="R11" s="66" t="inlineStr">
        <is>
          <t>-</t>
        </is>
      </c>
      <c r="S11" s="70" t="inlineStr">
        <is>
          <t>1</t>
        </is>
      </c>
      <c r="T11" s="70" t="inlineStr">
        <is>
          <t>9.1</t>
        </is>
      </c>
      <c r="U11" s="66" t="inlineStr">
        <is>
          <t>-</t>
        </is>
      </c>
      <c r="V11" s="66" t="inlineStr">
        <is>
          <t>-</t>
        </is>
      </c>
      <c r="W11" s="70" t="inlineStr">
        <is>
          <t>9</t>
        </is>
      </c>
      <c r="X11" s="70" t="inlineStr">
        <is>
          <t>81.8</t>
        </is>
      </c>
      <c r="Y11" s="66" t="inlineStr">
        <is>
          <t>-</t>
        </is>
      </c>
      <c r="Z11" s="66" t="inlineStr">
        <is>
          <t>-</t>
        </is>
      </c>
      <c r="AA11" s="70" t="inlineStr">
        <is>
          <t>18.18%</t>
        </is>
      </c>
      <c r="AB11" s="70" t="inlineStr">
        <is>
          <t>8.27</t>
        </is>
      </c>
    </row>
    <row r="13" ht="22" customHeight="1">
      <c r="A13" s="30" t="inlineStr">
        <is>
          <t>STATUS PENCAPAIAN</t>
        </is>
      </c>
      <c r="E13" s="17" t="inlineStr">
        <is>
          <t>🚨 KRITIKAL   |   GP: 8.27   |   % LULUS: 18.18%</t>
        </is>
      </c>
    </row>
    <row r="15" ht="15" customHeight="1">
      <c r="A15" s="71" t="inlineStr">
        <is>
          <t>🏆 CEMERLANG  GP ≤ 2.0</t>
        </is>
      </c>
      <c r="F15" s="72" t="inlineStr">
        <is>
          <t>✅ BAIK  GP 2.01–3.00</t>
        </is>
      </c>
      <c r="K15" s="73" t="inlineStr">
        <is>
          <t>⚠️ SEDERHANA  GP 3.01–5.00</t>
        </is>
      </c>
      <c r="P15" s="74" t="inlineStr">
        <is>
          <t>⛔ LEMAH  GP 5.01–7.00</t>
        </is>
      </c>
      <c r="U15" s="75" t="inlineStr">
        <is>
          <t>🚨 KRITIKAL  GP &gt; 7.00</t>
        </is>
      </c>
    </row>
    <row r="17">
      <c r="AF17" t="inlineStr">
        <is>
          <t>KELAS</t>
        </is>
      </c>
      <c r="AG17" t="inlineStr">
        <is>
          <t>% LULUS</t>
        </is>
      </c>
      <c r="AH17" t="inlineStr">
        <is>
          <t>GP</t>
        </is>
      </c>
      <c r="AI17" t="inlineStr">
        <is>
          <t>A+</t>
        </is>
      </c>
      <c r="AJ17" t="inlineStr">
        <is>
          <t>A</t>
        </is>
      </c>
      <c r="AK17" t="inlineStr">
        <is>
          <t>A-</t>
        </is>
      </c>
      <c r="AL17" t="inlineStr">
        <is>
          <t>B+</t>
        </is>
      </c>
      <c r="AM17" t="inlineStr">
        <is>
          <t>B</t>
        </is>
      </c>
      <c r="AN17" t="inlineStr">
        <is>
          <t>C+</t>
        </is>
      </c>
      <c r="AO17" t="inlineStr">
        <is>
          <t>C</t>
        </is>
      </c>
      <c r="AP17" t="inlineStr">
        <is>
          <t>D</t>
        </is>
      </c>
      <c r="AQ17" t="inlineStr">
        <is>
          <t>E</t>
        </is>
      </c>
      <c r="AR17" t="inlineStr">
        <is>
          <t>G</t>
        </is>
      </c>
      <c r="AS17" t="inlineStr">
        <is>
          <t>TH</t>
        </is>
      </c>
    </row>
    <row r="18">
      <c r="AF18" t="inlineStr">
        <is>
          <t>5 SAINS</t>
        </is>
      </c>
      <c r="AG18" t="n">
        <v>18.2</v>
      </c>
      <c r="AH18" t="n">
        <v>8.27</v>
      </c>
      <c r="AI18" t="n">
        <v>0</v>
      </c>
      <c r="AJ18" t="n">
        <v>0</v>
      </c>
      <c r="AK18" t="n">
        <v>0</v>
      </c>
      <c r="AL18" t="n">
        <v>1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9</v>
      </c>
      <c r="AS18" t="n">
        <v>0</v>
      </c>
    </row>
  </sheetData>
  <mergeCells count="33">
    <mergeCell ref="A2:AB2"/>
    <mergeCell ref="Q5:V5"/>
    <mergeCell ref="A15:E15"/>
    <mergeCell ref="K15:O15"/>
    <mergeCell ref="A11:B11"/>
    <mergeCell ref="U15:Y15"/>
    <mergeCell ref="B8:B9"/>
    <mergeCell ref="E13:AB13"/>
    <mergeCell ref="A13:D13"/>
    <mergeCell ref="Q8:R8"/>
    <mergeCell ref="K8:P8"/>
    <mergeCell ref="Q6:V6"/>
    <mergeCell ref="F15:J15"/>
    <mergeCell ref="AB8:AB9"/>
    <mergeCell ref="L5:P5"/>
    <mergeCell ref="G6:K6"/>
    <mergeCell ref="A8:A9"/>
    <mergeCell ref="C8:C9"/>
    <mergeCell ref="S8:V8"/>
    <mergeCell ref="D8:D9"/>
    <mergeCell ref="A1:AB1"/>
    <mergeCell ref="G5:K5"/>
    <mergeCell ref="W8:X8"/>
    <mergeCell ref="B6:F6"/>
    <mergeCell ref="W6:AB6"/>
    <mergeCell ref="AA8:AA9"/>
    <mergeCell ref="L6:P6"/>
    <mergeCell ref="B5:F5"/>
    <mergeCell ref="P15:T15"/>
    <mergeCell ref="W5:AB5"/>
    <mergeCell ref="E8:J8"/>
    <mergeCell ref="Y8:Z8"/>
    <mergeCell ref="A3:AB3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S20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8" customWidth="1" min="3" max="3"/>
    <col width="8" customWidth="1" min="4" max="4"/>
    <col width="5" customWidth="1" min="5" max="5"/>
    <col width="6" customWidth="1" min="6" max="6"/>
    <col width="5" customWidth="1" min="7" max="7"/>
    <col width="6" customWidth="1" min="8" max="8"/>
    <col width="5" customWidth="1" min="9" max="9"/>
    <col width="6" customWidth="1" min="10" max="10"/>
    <col width="5" customWidth="1" min="11" max="11"/>
    <col width="6" customWidth="1" min="12" max="12"/>
    <col width="5" customWidth="1" min="13" max="13"/>
    <col width="6" customWidth="1" min="14" max="14"/>
    <col width="5" customWidth="1" min="15" max="15"/>
    <col width="6" customWidth="1" min="16" max="16"/>
    <col width="5" customWidth="1" min="17" max="17"/>
    <col width="6" customWidth="1" min="18" max="18"/>
    <col width="5" customWidth="1" min="19" max="19"/>
    <col width="6" customWidth="1" min="20" max="20"/>
    <col width="5" customWidth="1" min="21" max="21"/>
    <col width="6" customWidth="1" min="22" max="22"/>
    <col width="5" customWidth="1" min="23" max="23"/>
    <col width="6" customWidth="1" min="24" max="24"/>
    <col width="5" customWidth="1" min="25" max="25"/>
    <col width="6" customWidth="1" min="26" max="26"/>
    <col width="10" customWidth="1" min="27" max="27"/>
    <col width="8" customWidth="1" min="28" max="28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</cols>
  <sheetData>
    <row r="1" ht="28" customHeight="1">
      <c r="A1" s="23" t="inlineStr">
        <is>
          <t>SEKOLAH MENENGAH KEBANGSAAN KELANA JAYA</t>
        </is>
      </c>
    </row>
    <row r="2" ht="20" customHeight="1">
      <c r="A2" s="24" t="inlineStr">
        <is>
          <t>ANALISIS PEPERIKSAAN PERTENGAHAN TAHUN 2026 — TINGKATAN 5</t>
        </is>
      </c>
    </row>
    <row r="3" ht="24" customHeight="1">
      <c r="A3" s="25" t="inlineStr">
        <is>
          <t>3767  EKONOMI</t>
        </is>
      </c>
    </row>
    <row r="5" ht="16" customHeight="1">
      <c r="B5" s="26" t="inlineStr">
        <is>
          <t>JLH DAFTAR</t>
        </is>
      </c>
      <c r="G5" s="26" t="inlineStr">
        <is>
          <t>JLH HADIR</t>
        </is>
      </c>
      <c r="L5" s="26" t="inlineStr">
        <is>
          <t>% LULUS</t>
        </is>
      </c>
      <c r="Q5" s="26" t="inlineStr">
        <is>
          <t>GRED PURATA (GP)</t>
        </is>
      </c>
      <c r="W5" s="26" t="inlineStr">
        <is>
          <t>STATUS</t>
        </is>
      </c>
    </row>
    <row r="6" ht="22" customHeight="1">
      <c r="B6" s="27" t="n">
        <v>44</v>
      </c>
      <c r="G6" s="27" t="n">
        <v>40</v>
      </c>
      <c r="L6" s="29" t="inlineStr">
        <is>
          <t>40.00%</t>
        </is>
      </c>
      <c r="Q6" s="79" t="inlineStr">
        <is>
          <t>6.63</t>
        </is>
      </c>
      <c r="W6" s="79" t="inlineStr">
        <is>
          <t>⛔ LEMAH</t>
        </is>
      </c>
    </row>
    <row r="8" ht="18" customHeight="1">
      <c r="A8" s="30" t="inlineStr">
        <is>
          <t>BIL</t>
        </is>
      </c>
      <c r="B8" s="30" t="inlineStr">
        <is>
          <t>KELAS</t>
        </is>
      </c>
      <c r="C8" s="30" t="inlineStr">
        <is>
          <t>DAFTAR</t>
        </is>
      </c>
      <c r="D8" s="30" t="inlineStr">
        <is>
          <t>HADIR</t>
        </is>
      </c>
      <c r="E8" s="31" t="inlineStr">
        <is>
          <t>CEMERLANG</t>
        </is>
      </c>
      <c r="K8" s="32" t="inlineStr">
        <is>
          <t>SEDERHANA</t>
        </is>
      </c>
      <c r="Q8" s="33" t="inlineStr">
        <is>
          <t>LULUS</t>
        </is>
      </c>
      <c r="S8" s="34" t="inlineStr">
        <is>
          <t>GAGAL</t>
        </is>
      </c>
      <c r="W8" s="35" t="inlineStr">
        <is>
          <t>GAGAL (G)</t>
        </is>
      </c>
      <c r="Y8" s="36" t="inlineStr">
        <is>
          <t>TH</t>
        </is>
      </c>
      <c r="AA8" s="37" t="inlineStr">
        <is>
          <t>% LULUS</t>
        </is>
      </c>
      <c r="AB8" s="30" t="inlineStr">
        <is>
          <t>GP</t>
        </is>
      </c>
    </row>
    <row r="9" ht="15" customHeight="1">
      <c r="E9" s="38" t="inlineStr">
        <is>
          <t>A+</t>
        </is>
      </c>
      <c r="F9" s="38" t="inlineStr">
        <is>
          <t>%</t>
        </is>
      </c>
      <c r="G9" s="38" t="inlineStr">
        <is>
          <t>A</t>
        </is>
      </c>
      <c r="H9" s="38" t="inlineStr">
        <is>
          <t>%</t>
        </is>
      </c>
      <c r="I9" s="38" t="inlineStr">
        <is>
          <t>A-</t>
        </is>
      </c>
      <c r="J9" s="38" t="inlineStr">
        <is>
          <t>%</t>
        </is>
      </c>
      <c r="K9" s="39" t="inlineStr">
        <is>
          <t>B+</t>
        </is>
      </c>
      <c r="L9" s="39" t="inlineStr">
        <is>
          <t>%</t>
        </is>
      </c>
      <c r="M9" s="39" t="inlineStr">
        <is>
          <t>B</t>
        </is>
      </c>
      <c r="N9" s="39" t="inlineStr">
        <is>
          <t>%</t>
        </is>
      </c>
      <c r="O9" s="39" t="inlineStr">
        <is>
          <t>C+</t>
        </is>
      </c>
      <c r="P9" s="39" t="inlineStr">
        <is>
          <t>%</t>
        </is>
      </c>
      <c r="Q9" s="40" t="inlineStr">
        <is>
          <t>C</t>
        </is>
      </c>
      <c r="R9" s="40" t="inlineStr">
        <is>
          <t>%</t>
        </is>
      </c>
      <c r="S9" s="41" t="inlineStr">
        <is>
          <t>D</t>
        </is>
      </c>
      <c r="T9" s="41" t="inlineStr">
        <is>
          <t>%</t>
        </is>
      </c>
      <c r="U9" s="41" t="inlineStr">
        <is>
          <t>E</t>
        </is>
      </c>
      <c r="V9" s="41" t="inlineStr">
        <is>
          <t>%</t>
        </is>
      </c>
      <c r="W9" s="42" t="inlineStr">
        <is>
          <t>G</t>
        </is>
      </c>
      <c r="X9" s="42" t="inlineStr">
        <is>
          <t>%</t>
        </is>
      </c>
      <c r="Y9" s="43" t="inlineStr">
        <is>
          <t>TH</t>
        </is>
      </c>
      <c r="Z9" s="43" t="inlineStr">
        <is>
          <t>%</t>
        </is>
      </c>
    </row>
    <row r="10" ht="18" customHeight="1">
      <c r="A10" s="44" t="n">
        <v>1</v>
      </c>
      <c r="B10" s="45" t="inlineStr">
        <is>
          <t>5 AKAUN</t>
        </is>
      </c>
      <c r="C10" s="46" t="n">
        <v>24</v>
      </c>
      <c r="D10" s="46" t="n">
        <v>23</v>
      </c>
      <c r="E10" s="47" t="inlineStr">
        <is>
          <t>-</t>
        </is>
      </c>
      <c r="F10" s="47" t="inlineStr">
        <is>
          <t>-</t>
        </is>
      </c>
      <c r="G10" s="47" t="inlineStr">
        <is>
          <t>-</t>
        </is>
      </c>
      <c r="H10" s="47" t="inlineStr">
        <is>
          <t>-</t>
        </is>
      </c>
      <c r="I10" s="48" t="inlineStr">
        <is>
          <t>6</t>
        </is>
      </c>
      <c r="J10" s="48" t="inlineStr">
        <is>
          <t>25.0</t>
        </is>
      </c>
      <c r="K10" s="49" t="inlineStr">
        <is>
          <t>1</t>
        </is>
      </c>
      <c r="L10" s="49" t="inlineStr">
        <is>
          <t>4.2</t>
        </is>
      </c>
      <c r="M10" s="49" t="inlineStr">
        <is>
          <t>2</t>
        </is>
      </c>
      <c r="N10" s="49" t="inlineStr">
        <is>
          <t>8.3</t>
        </is>
      </c>
      <c r="O10" s="49" t="inlineStr">
        <is>
          <t>1</t>
        </is>
      </c>
      <c r="P10" s="49" t="inlineStr">
        <is>
          <t>4.2</t>
        </is>
      </c>
      <c r="Q10" s="63" t="inlineStr">
        <is>
          <t>2</t>
        </is>
      </c>
      <c r="R10" s="63" t="inlineStr">
        <is>
          <t>8.3</t>
        </is>
      </c>
      <c r="S10" s="50" t="inlineStr">
        <is>
          <t>3</t>
        </is>
      </c>
      <c r="T10" s="50" t="inlineStr">
        <is>
          <t>12.5</t>
        </is>
      </c>
      <c r="U10" s="50" t="inlineStr">
        <is>
          <t>4</t>
        </is>
      </c>
      <c r="V10" s="50" t="inlineStr">
        <is>
          <t>16.7</t>
        </is>
      </c>
      <c r="W10" s="50" t="inlineStr">
        <is>
          <t>4</t>
        </is>
      </c>
      <c r="X10" s="50" t="inlineStr">
        <is>
          <t>16.7</t>
        </is>
      </c>
      <c r="Y10" s="50" t="inlineStr">
        <is>
          <t>1</t>
        </is>
      </c>
      <c r="Z10" s="50" t="inlineStr">
        <is>
          <t>4.2</t>
        </is>
      </c>
      <c r="AA10" s="52" t="inlineStr">
        <is>
          <t>60.9%</t>
        </is>
      </c>
      <c r="AB10" s="76" t="inlineStr">
        <is>
          <t>5.61</t>
        </is>
      </c>
    </row>
    <row r="11" ht="18" customHeight="1">
      <c r="A11" s="53" t="n">
        <v>2</v>
      </c>
      <c r="B11" s="54" t="inlineStr">
        <is>
          <t>5 EKONOMI</t>
        </is>
      </c>
      <c r="C11" s="55" t="n">
        <v>20</v>
      </c>
      <c r="D11" s="55" t="n">
        <v>17</v>
      </c>
      <c r="E11" s="56" t="inlineStr">
        <is>
          <t>-</t>
        </is>
      </c>
      <c r="F11" s="56" t="inlineStr">
        <is>
          <t>-</t>
        </is>
      </c>
      <c r="G11" s="56" t="inlineStr">
        <is>
          <t>-</t>
        </is>
      </c>
      <c r="H11" s="56" t="inlineStr">
        <is>
          <t>-</t>
        </is>
      </c>
      <c r="I11" s="56" t="inlineStr">
        <is>
          <t>-</t>
        </is>
      </c>
      <c r="J11" s="56" t="inlineStr">
        <is>
          <t>-</t>
        </is>
      </c>
      <c r="K11" s="56" t="inlineStr">
        <is>
          <t>-</t>
        </is>
      </c>
      <c r="L11" s="56" t="inlineStr">
        <is>
          <t>-</t>
        </is>
      </c>
      <c r="M11" s="58" t="inlineStr">
        <is>
          <t>1</t>
        </is>
      </c>
      <c r="N11" s="58" t="inlineStr">
        <is>
          <t>5.0</t>
        </is>
      </c>
      <c r="O11" s="56" t="inlineStr">
        <is>
          <t>-</t>
        </is>
      </c>
      <c r="P11" s="56" t="inlineStr">
        <is>
          <t>-</t>
        </is>
      </c>
      <c r="Q11" s="59" t="inlineStr">
        <is>
          <t>2</t>
        </is>
      </c>
      <c r="R11" s="59" t="inlineStr">
        <is>
          <t>10.0</t>
        </is>
      </c>
      <c r="S11" s="60" t="inlineStr">
        <is>
          <t>2</t>
        </is>
      </c>
      <c r="T11" s="60" t="inlineStr">
        <is>
          <t>10.0</t>
        </is>
      </c>
      <c r="U11" s="60" t="inlineStr">
        <is>
          <t>2</t>
        </is>
      </c>
      <c r="V11" s="60" t="inlineStr">
        <is>
          <t>10.0</t>
        </is>
      </c>
      <c r="W11" s="60" t="inlineStr">
        <is>
          <t>10</t>
        </is>
      </c>
      <c r="X11" s="60" t="inlineStr">
        <is>
          <t>50.0</t>
        </is>
      </c>
      <c r="Y11" s="60" t="inlineStr">
        <is>
          <t>3</t>
        </is>
      </c>
      <c r="Z11" s="60" t="inlineStr">
        <is>
          <t>15.0</t>
        </is>
      </c>
      <c r="AA11" s="78" t="inlineStr">
        <is>
          <t>11.8%</t>
        </is>
      </c>
      <c r="AB11" s="78" t="inlineStr">
        <is>
          <t>8.00</t>
        </is>
      </c>
    </row>
    <row r="12" ht="20" customHeight="1">
      <c r="A12" s="30" t="inlineStr">
        <is>
          <t>JUMLAH / GP</t>
        </is>
      </c>
      <c r="C12" s="65" t="n">
        <v>44</v>
      </c>
      <c r="D12" s="65" t="n">
        <v>40</v>
      </c>
      <c r="E12" s="66" t="inlineStr">
        <is>
          <t>-</t>
        </is>
      </c>
      <c r="F12" s="66" t="inlineStr">
        <is>
          <t>-</t>
        </is>
      </c>
      <c r="G12" s="66" t="inlineStr">
        <is>
          <t>-</t>
        </is>
      </c>
      <c r="H12" s="66" t="inlineStr">
        <is>
          <t>-</t>
        </is>
      </c>
      <c r="I12" s="67" t="inlineStr">
        <is>
          <t>6</t>
        </is>
      </c>
      <c r="J12" s="67" t="inlineStr">
        <is>
          <t>13.6</t>
        </is>
      </c>
      <c r="K12" s="68" t="inlineStr">
        <is>
          <t>1</t>
        </is>
      </c>
      <c r="L12" s="68" t="inlineStr">
        <is>
          <t>2.3</t>
        </is>
      </c>
      <c r="M12" s="68" t="inlineStr">
        <is>
          <t>3</t>
        </is>
      </c>
      <c r="N12" s="68" t="inlineStr">
        <is>
          <t>6.8</t>
        </is>
      </c>
      <c r="O12" s="68" t="inlineStr">
        <is>
          <t>1</t>
        </is>
      </c>
      <c r="P12" s="68" t="inlineStr">
        <is>
          <t>2.3</t>
        </is>
      </c>
      <c r="Q12" s="69" t="inlineStr">
        <is>
          <t>4</t>
        </is>
      </c>
      <c r="R12" s="69" t="inlineStr">
        <is>
          <t>9.1</t>
        </is>
      </c>
      <c r="S12" s="70" t="inlineStr">
        <is>
          <t>5</t>
        </is>
      </c>
      <c r="T12" s="70" t="inlineStr">
        <is>
          <t>11.4</t>
        </is>
      </c>
      <c r="U12" s="70" t="inlineStr">
        <is>
          <t>6</t>
        </is>
      </c>
      <c r="V12" s="70" t="inlineStr">
        <is>
          <t>13.6</t>
        </is>
      </c>
      <c r="W12" s="70" t="inlineStr">
        <is>
          <t>14</t>
        </is>
      </c>
      <c r="X12" s="70" t="inlineStr">
        <is>
          <t>31.8</t>
        </is>
      </c>
      <c r="Y12" s="70" t="inlineStr">
        <is>
          <t>4</t>
        </is>
      </c>
      <c r="Z12" s="70" t="inlineStr">
        <is>
          <t>9.1</t>
        </is>
      </c>
      <c r="AA12" s="68" t="inlineStr">
        <is>
          <t>40.00%</t>
        </is>
      </c>
      <c r="AB12" s="83" t="inlineStr">
        <is>
          <t>6.63</t>
        </is>
      </c>
    </row>
    <row r="14" ht="22" customHeight="1">
      <c r="A14" s="30" t="inlineStr">
        <is>
          <t>STATUS PENCAPAIAN</t>
        </is>
      </c>
      <c r="E14" s="20" t="inlineStr">
        <is>
          <t>⛔ LEMAH   |   GP: 6.63   |   % LULUS: 40.00%</t>
        </is>
      </c>
    </row>
    <row r="16" ht="15" customHeight="1">
      <c r="A16" s="71" t="inlineStr">
        <is>
          <t>🏆 CEMERLANG  GP ≤ 2.0</t>
        </is>
      </c>
      <c r="F16" s="72" t="inlineStr">
        <is>
          <t>✅ BAIK  GP 2.01–3.00</t>
        </is>
      </c>
      <c r="K16" s="73" t="inlineStr">
        <is>
          <t>⚠️ SEDERHANA  GP 3.01–5.00</t>
        </is>
      </c>
      <c r="P16" s="74" t="inlineStr">
        <is>
          <t>⛔ LEMAH  GP 5.01–7.00</t>
        </is>
      </c>
      <c r="U16" s="75" t="inlineStr">
        <is>
          <t>🚨 KRITIKAL  GP &gt; 7.00</t>
        </is>
      </c>
    </row>
    <row r="18">
      <c r="AF18" t="inlineStr">
        <is>
          <t>KELAS</t>
        </is>
      </c>
      <c r="AG18" t="inlineStr">
        <is>
          <t>% LULUS</t>
        </is>
      </c>
      <c r="AH18" t="inlineStr">
        <is>
          <t>GP</t>
        </is>
      </c>
      <c r="AI18" t="inlineStr">
        <is>
          <t>A+</t>
        </is>
      </c>
      <c r="AJ18" t="inlineStr">
        <is>
          <t>A</t>
        </is>
      </c>
      <c r="AK18" t="inlineStr">
        <is>
          <t>A-</t>
        </is>
      </c>
      <c r="AL18" t="inlineStr">
        <is>
          <t>B+</t>
        </is>
      </c>
      <c r="AM18" t="inlineStr">
        <is>
          <t>B</t>
        </is>
      </c>
      <c r="AN18" t="inlineStr">
        <is>
          <t>C+</t>
        </is>
      </c>
      <c r="AO18" t="inlineStr">
        <is>
          <t>C</t>
        </is>
      </c>
      <c r="AP18" t="inlineStr">
        <is>
          <t>D</t>
        </is>
      </c>
      <c r="AQ18" t="inlineStr">
        <is>
          <t>E</t>
        </is>
      </c>
      <c r="AR18" t="inlineStr">
        <is>
          <t>G</t>
        </is>
      </c>
      <c r="AS18" t="inlineStr">
        <is>
          <t>TH</t>
        </is>
      </c>
    </row>
    <row r="19">
      <c r="AF19" t="inlineStr">
        <is>
          <t>5 AKAUN</t>
        </is>
      </c>
      <c r="AG19" t="n">
        <v>60.9</v>
      </c>
      <c r="AH19" t="n">
        <v>5.61</v>
      </c>
      <c r="AI19" t="n">
        <v>0</v>
      </c>
      <c r="AJ19" t="n">
        <v>0</v>
      </c>
      <c r="AK19" t="n">
        <v>6</v>
      </c>
      <c r="AL19" t="n">
        <v>1</v>
      </c>
      <c r="AM19" t="n">
        <v>2</v>
      </c>
      <c r="AN19" t="n">
        <v>1</v>
      </c>
      <c r="AO19" t="n">
        <v>2</v>
      </c>
      <c r="AP19" t="n">
        <v>3</v>
      </c>
      <c r="AQ19" t="n">
        <v>4</v>
      </c>
      <c r="AR19" t="n">
        <v>4</v>
      </c>
      <c r="AS19" t="n">
        <v>1</v>
      </c>
    </row>
    <row r="20">
      <c r="AF20" t="inlineStr">
        <is>
          <t>5 EKONOMI</t>
        </is>
      </c>
      <c r="AG20" t="n">
        <v>11.8</v>
      </c>
      <c r="AH20" t="n">
        <v>8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2</v>
      </c>
      <c r="AP20" t="n">
        <v>2</v>
      </c>
      <c r="AQ20" t="n">
        <v>2</v>
      </c>
      <c r="AR20" t="n">
        <v>10</v>
      </c>
      <c r="AS20" t="n">
        <v>3</v>
      </c>
    </row>
  </sheetData>
  <mergeCells count="33">
    <mergeCell ref="A2:AB2"/>
    <mergeCell ref="K16:O16"/>
    <mergeCell ref="Q5:V5"/>
    <mergeCell ref="F16:J16"/>
    <mergeCell ref="B8:B9"/>
    <mergeCell ref="Q8:R8"/>
    <mergeCell ref="K8:P8"/>
    <mergeCell ref="Q6:V6"/>
    <mergeCell ref="A16:E16"/>
    <mergeCell ref="AB8:AB9"/>
    <mergeCell ref="U16:Y16"/>
    <mergeCell ref="L5:P5"/>
    <mergeCell ref="G6:K6"/>
    <mergeCell ref="A12:B12"/>
    <mergeCell ref="A8:A9"/>
    <mergeCell ref="C8:C9"/>
    <mergeCell ref="S8:V8"/>
    <mergeCell ref="P16:T16"/>
    <mergeCell ref="D8:D9"/>
    <mergeCell ref="A1:AB1"/>
    <mergeCell ref="G5:K5"/>
    <mergeCell ref="W8:X8"/>
    <mergeCell ref="B6:F6"/>
    <mergeCell ref="W6:AB6"/>
    <mergeCell ref="AA8:AA9"/>
    <mergeCell ref="L6:P6"/>
    <mergeCell ref="B5:F5"/>
    <mergeCell ref="W5:AB5"/>
    <mergeCell ref="E8:J8"/>
    <mergeCell ref="Y8:Z8"/>
    <mergeCell ref="A3:AB3"/>
    <mergeCell ref="E14:AB14"/>
    <mergeCell ref="A14:D14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S18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8" customWidth="1" min="3" max="3"/>
    <col width="8" customWidth="1" min="4" max="4"/>
    <col width="5" customWidth="1" min="5" max="5"/>
    <col width="6" customWidth="1" min="6" max="6"/>
    <col width="5" customWidth="1" min="7" max="7"/>
    <col width="6" customWidth="1" min="8" max="8"/>
    <col width="5" customWidth="1" min="9" max="9"/>
    <col width="6" customWidth="1" min="10" max="10"/>
    <col width="5" customWidth="1" min="11" max="11"/>
    <col width="6" customWidth="1" min="12" max="12"/>
    <col width="5" customWidth="1" min="13" max="13"/>
    <col width="6" customWidth="1" min="14" max="14"/>
    <col width="5" customWidth="1" min="15" max="15"/>
    <col width="6" customWidth="1" min="16" max="16"/>
    <col width="5" customWidth="1" min="17" max="17"/>
    <col width="6" customWidth="1" min="18" max="18"/>
    <col width="5" customWidth="1" min="19" max="19"/>
    <col width="6" customWidth="1" min="20" max="20"/>
    <col width="5" customWidth="1" min="21" max="21"/>
    <col width="6" customWidth="1" min="22" max="22"/>
    <col width="5" customWidth="1" min="23" max="23"/>
    <col width="6" customWidth="1" min="24" max="24"/>
    <col width="5" customWidth="1" min="25" max="25"/>
    <col width="6" customWidth="1" min="26" max="26"/>
    <col width="10" customWidth="1" min="27" max="27"/>
    <col width="8" customWidth="1" min="28" max="28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</cols>
  <sheetData>
    <row r="1" ht="28" customHeight="1">
      <c r="A1" s="23" t="inlineStr">
        <is>
          <t>SEKOLAH MENENGAH KEBANGSAAN KELANA JAYA</t>
        </is>
      </c>
    </row>
    <row r="2" ht="20" customHeight="1">
      <c r="A2" s="24" t="inlineStr">
        <is>
          <t>ANALISIS PEPERIKSAAN PERTENGAHAN TAHUN 2026 — TINGKATAN 5</t>
        </is>
      </c>
    </row>
    <row r="3" ht="24" customHeight="1">
      <c r="A3" s="25" t="inlineStr">
        <is>
          <t>4531  FIZIK</t>
        </is>
      </c>
    </row>
    <row r="5" ht="16" customHeight="1">
      <c r="B5" s="26" t="inlineStr">
        <is>
          <t>JLH DAFTAR</t>
        </is>
      </c>
      <c r="G5" s="26" t="inlineStr">
        <is>
          <t>JLH HADIR</t>
        </is>
      </c>
      <c r="L5" s="26" t="inlineStr">
        <is>
          <t>% LULUS</t>
        </is>
      </c>
      <c r="Q5" s="26" t="inlineStr">
        <is>
          <t>GRED PURATA (GP)</t>
        </is>
      </c>
      <c r="W5" s="26" t="inlineStr">
        <is>
          <t>STATUS</t>
        </is>
      </c>
    </row>
    <row r="6" ht="22" customHeight="1">
      <c r="B6" s="27" t="n">
        <v>11</v>
      </c>
      <c r="G6" s="27" t="n">
        <v>11</v>
      </c>
      <c r="L6" s="84" t="inlineStr">
        <is>
          <t>72.73%</t>
        </is>
      </c>
      <c r="Q6" s="79" t="inlineStr">
        <is>
          <t>5.91</t>
        </is>
      </c>
      <c r="W6" s="79" t="inlineStr">
        <is>
          <t>⛔ LEMAH</t>
        </is>
      </c>
    </row>
    <row r="8" ht="18" customHeight="1">
      <c r="A8" s="30" t="inlineStr">
        <is>
          <t>BIL</t>
        </is>
      </c>
      <c r="B8" s="30" t="inlineStr">
        <is>
          <t>KELAS</t>
        </is>
      </c>
      <c r="C8" s="30" t="inlineStr">
        <is>
          <t>DAFTAR</t>
        </is>
      </c>
      <c r="D8" s="30" t="inlineStr">
        <is>
          <t>HADIR</t>
        </is>
      </c>
      <c r="E8" s="31" t="inlineStr">
        <is>
          <t>CEMERLANG</t>
        </is>
      </c>
      <c r="K8" s="32" t="inlineStr">
        <is>
          <t>SEDERHANA</t>
        </is>
      </c>
      <c r="Q8" s="33" t="inlineStr">
        <is>
          <t>LULUS</t>
        </is>
      </c>
      <c r="S8" s="34" t="inlineStr">
        <is>
          <t>GAGAL</t>
        </is>
      </c>
      <c r="W8" s="35" t="inlineStr">
        <is>
          <t>GAGAL (G)</t>
        </is>
      </c>
      <c r="Y8" s="36" t="inlineStr">
        <is>
          <t>TH</t>
        </is>
      </c>
      <c r="AA8" s="37" t="inlineStr">
        <is>
          <t>% LULUS</t>
        </is>
      </c>
      <c r="AB8" s="30" t="inlineStr">
        <is>
          <t>GP</t>
        </is>
      </c>
    </row>
    <row r="9" ht="15" customHeight="1">
      <c r="E9" s="38" t="inlineStr">
        <is>
          <t>A+</t>
        </is>
      </c>
      <c r="F9" s="38" t="inlineStr">
        <is>
          <t>%</t>
        </is>
      </c>
      <c r="G9" s="38" t="inlineStr">
        <is>
          <t>A</t>
        </is>
      </c>
      <c r="H9" s="38" t="inlineStr">
        <is>
          <t>%</t>
        </is>
      </c>
      <c r="I9" s="38" t="inlineStr">
        <is>
          <t>A-</t>
        </is>
      </c>
      <c r="J9" s="38" t="inlineStr">
        <is>
          <t>%</t>
        </is>
      </c>
      <c r="K9" s="39" t="inlineStr">
        <is>
          <t>B+</t>
        </is>
      </c>
      <c r="L9" s="39" t="inlineStr">
        <is>
          <t>%</t>
        </is>
      </c>
      <c r="M9" s="39" t="inlineStr">
        <is>
          <t>B</t>
        </is>
      </c>
      <c r="N9" s="39" t="inlineStr">
        <is>
          <t>%</t>
        </is>
      </c>
      <c r="O9" s="39" t="inlineStr">
        <is>
          <t>C+</t>
        </is>
      </c>
      <c r="P9" s="39" t="inlineStr">
        <is>
          <t>%</t>
        </is>
      </c>
      <c r="Q9" s="40" t="inlineStr">
        <is>
          <t>C</t>
        </is>
      </c>
      <c r="R9" s="40" t="inlineStr">
        <is>
          <t>%</t>
        </is>
      </c>
      <c r="S9" s="41" t="inlineStr">
        <is>
          <t>D</t>
        </is>
      </c>
      <c r="T9" s="41" t="inlineStr">
        <is>
          <t>%</t>
        </is>
      </c>
      <c r="U9" s="41" t="inlineStr">
        <is>
          <t>E</t>
        </is>
      </c>
      <c r="V9" s="41" t="inlineStr">
        <is>
          <t>%</t>
        </is>
      </c>
      <c r="W9" s="42" t="inlineStr">
        <is>
          <t>G</t>
        </is>
      </c>
      <c r="X9" s="42" t="inlineStr">
        <is>
          <t>%</t>
        </is>
      </c>
      <c r="Y9" s="43" t="inlineStr">
        <is>
          <t>TH</t>
        </is>
      </c>
      <c r="Z9" s="43" t="inlineStr">
        <is>
          <t>%</t>
        </is>
      </c>
    </row>
    <row r="10" ht="18" customHeight="1">
      <c r="A10" s="44" t="n">
        <v>1</v>
      </c>
      <c r="B10" s="45" t="inlineStr">
        <is>
          <t>5 SAINS</t>
        </is>
      </c>
      <c r="C10" s="46" t="n">
        <v>11</v>
      </c>
      <c r="D10" s="46" t="n">
        <v>11</v>
      </c>
      <c r="E10" s="47" t="inlineStr">
        <is>
          <t>-</t>
        </is>
      </c>
      <c r="F10" s="47" t="inlineStr">
        <is>
          <t>-</t>
        </is>
      </c>
      <c r="G10" s="47" t="inlineStr">
        <is>
          <t>-</t>
        </is>
      </c>
      <c r="H10" s="47" t="inlineStr">
        <is>
          <t>-</t>
        </is>
      </c>
      <c r="I10" s="48" t="inlineStr">
        <is>
          <t>1</t>
        </is>
      </c>
      <c r="J10" s="48" t="inlineStr">
        <is>
          <t>9.1</t>
        </is>
      </c>
      <c r="K10" s="47" t="inlineStr">
        <is>
          <t>-</t>
        </is>
      </c>
      <c r="L10" s="47" t="inlineStr">
        <is>
          <t>-</t>
        </is>
      </c>
      <c r="M10" s="49" t="inlineStr">
        <is>
          <t>3</t>
        </is>
      </c>
      <c r="N10" s="49" t="inlineStr">
        <is>
          <t>27.3</t>
        </is>
      </c>
      <c r="O10" s="49" t="inlineStr">
        <is>
          <t>1</t>
        </is>
      </c>
      <c r="P10" s="49" t="inlineStr">
        <is>
          <t>9.1</t>
        </is>
      </c>
      <c r="Q10" s="63" t="inlineStr">
        <is>
          <t>2</t>
        </is>
      </c>
      <c r="R10" s="63" t="inlineStr">
        <is>
          <t>18.2</t>
        </is>
      </c>
      <c r="S10" s="50" t="inlineStr">
        <is>
          <t>1</t>
        </is>
      </c>
      <c r="T10" s="50" t="inlineStr">
        <is>
          <t>9.1</t>
        </is>
      </c>
      <c r="U10" s="47" t="inlineStr">
        <is>
          <t>-</t>
        </is>
      </c>
      <c r="V10" s="47" t="inlineStr">
        <is>
          <t>-</t>
        </is>
      </c>
      <c r="W10" s="50" t="inlineStr">
        <is>
          <t>3</t>
        </is>
      </c>
      <c r="X10" s="50" t="inlineStr">
        <is>
          <t>27.3</t>
        </is>
      </c>
      <c r="Y10" s="47" t="inlineStr">
        <is>
          <t>-</t>
        </is>
      </c>
      <c r="Z10" s="47" t="inlineStr">
        <is>
          <t>-</t>
        </is>
      </c>
      <c r="AA10" s="52" t="inlineStr">
        <is>
          <t>72.7%</t>
        </is>
      </c>
      <c r="AB10" s="76" t="inlineStr">
        <is>
          <t>5.91</t>
        </is>
      </c>
    </row>
    <row r="11" ht="20" customHeight="1">
      <c r="A11" s="30" t="inlineStr">
        <is>
          <t>JUMLAH / GP</t>
        </is>
      </c>
      <c r="C11" s="65" t="n">
        <v>11</v>
      </c>
      <c r="D11" s="65" t="n">
        <v>11</v>
      </c>
      <c r="E11" s="66" t="inlineStr">
        <is>
          <t>-</t>
        </is>
      </c>
      <c r="F11" s="66" t="inlineStr">
        <is>
          <t>-</t>
        </is>
      </c>
      <c r="G11" s="66" t="inlineStr">
        <is>
          <t>-</t>
        </is>
      </c>
      <c r="H11" s="66" t="inlineStr">
        <is>
          <t>-</t>
        </is>
      </c>
      <c r="I11" s="67" t="inlineStr">
        <is>
          <t>1</t>
        </is>
      </c>
      <c r="J11" s="67" t="inlineStr">
        <is>
          <t>9.1</t>
        </is>
      </c>
      <c r="K11" s="66" t="inlineStr">
        <is>
          <t>-</t>
        </is>
      </c>
      <c r="L11" s="66" t="inlineStr">
        <is>
          <t>-</t>
        </is>
      </c>
      <c r="M11" s="68" t="inlineStr">
        <is>
          <t>3</t>
        </is>
      </c>
      <c r="N11" s="68" t="inlineStr">
        <is>
          <t>27.3</t>
        </is>
      </c>
      <c r="O11" s="68" t="inlineStr">
        <is>
          <t>1</t>
        </is>
      </c>
      <c r="P11" s="68" t="inlineStr">
        <is>
          <t>9.1</t>
        </is>
      </c>
      <c r="Q11" s="69" t="inlineStr">
        <is>
          <t>2</t>
        </is>
      </c>
      <c r="R11" s="69" t="inlineStr">
        <is>
          <t>18.2</t>
        </is>
      </c>
      <c r="S11" s="70" t="inlineStr">
        <is>
          <t>1</t>
        </is>
      </c>
      <c r="T11" s="70" t="inlineStr">
        <is>
          <t>9.1</t>
        </is>
      </c>
      <c r="U11" s="66" t="inlineStr">
        <is>
          <t>-</t>
        </is>
      </c>
      <c r="V11" s="66" t="inlineStr">
        <is>
          <t>-</t>
        </is>
      </c>
      <c r="W11" s="70" t="inlineStr">
        <is>
          <t>3</t>
        </is>
      </c>
      <c r="X11" s="70" t="inlineStr">
        <is>
          <t>27.3</t>
        </is>
      </c>
      <c r="Y11" s="66" t="inlineStr">
        <is>
          <t>-</t>
        </is>
      </c>
      <c r="Z11" s="66" t="inlineStr">
        <is>
          <t>-</t>
        </is>
      </c>
      <c r="AA11" s="69" t="inlineStr">
        <is>
          <t>72.73%</t>
        </is>
      </c>
      <c r="AB11" s="83" t="inlineStr">
        <is>
          <t>5.91</t>
        </is>
      </c>
    </row>
    <row r="13" ht="22" customHeight="1">
      <c r="A13" s="30" t="inlineStr">
        <is>
          <t>STATUS PENCAPAIAN</t>
        </is>
      </c>
      <c r="E13" s="20" t="inlineStr">
        <is>
          <t>⛔ LEMAH   |   GP: 5.91   |   % LULUS: 72.73%</t>
        </is>
      </c>
    </row>
    <row r="15" ht="15" customHeight="1">
      <c r="A15" s="71" t="inlineStr">
        <is>
          <t>🏆 CEMERLANG  GP ≤ 2.0</t>
        </is>
      </c>
      <c r="F15" s="72" t="inlineStr">
        <is>
          <t>✅ BAIK  GP 2.01–3.00</t>
        </is>
      </c>
      <c r="K15" s="73" t="inlineStr">
        <is>
          <t>⚠️ SEDERHANA  GP 3.01–5.00</t>
        </is>
      </c>
      <c r="P15" s="74" t="inlineStr">
        <is>
          <t>⛔ LEMAH  GP 5.01–7.00</t>
        </is>
      </c>
      <c r="U15" s="75" t="inlineStr">
        <is>
          <t>🚨 KRITIKAL  GP &gt; 7.00</t>
        </is>
      </c>
    </row>
    <row r="17">
      <c r="AF17" t="inlineStr">
        <is>
          <t>KELAS</t>
        </is>
      </c>
      <c r="AG17" t="inlineStr">
        <is>
          <t>% LULUS</t>
        </is>
      </c>
      <c r="AH17" t="inlineStr">
        <is>
          <t>GP</t>
        </is>
      </c>
      <c r="AI17" t="inlineStr">
        <is>
          <t>A+</t>
        </is>
      </c>
      <c r="AJ17" t="inlineStr">
        <is>
          <t>A</t>
        </is>
      </c>
      <c r="AK17" t="inlineStr">
        <is>
          <t>A-</t>
        </is>
      </c>
      <c r="AL17" t="inlineStr">
        <is>
          <t>B+</t>
        </is>
      </c>
      <c r="AM17" t="inlineStr">
        <is>
          <t>B</t>
        </is>
      </c>
      <c r="AN17" t="inlineStr">
        <is>
          <t>C+</t>
        </is>
      </c>
      <c r="AO17" t="inlineStr">
        <is>
          <t>C</t>
        </is>
      </c>
      <c r="AP17" t="inlineStr">
        <is>
          <t>D</t>
        </is>
      </c>
      <c r="AQ17" t="inlineStr">
        <is>
          <t>E</t>
        </is>
      </c>
      <c r="AR17" t="inlineStr">
        <is>
          <t>G</t>
        </is>
      </c>
      <c r="AS17" t="inlineStr">
        <is>
          <t>TH</t>
        </is>
      </c>
    </row>
    <row r="18">
      <c r="AF18" t="inlineStr">
        <is>
          <t>5 SAINS</t>
        </is>
      </c>
      <c r="AG18" t="n">
        <v>72.7</v>
      </c>
      <c r="AH18" t="n">
        <v>5.91</v>
      </c>
      <c r="AI18" t="n">
        <v>0</v>
      </c>
      <c r="AJ18" t="n">
        <v>0</v>
      </c>
      <c r="AK18" t="n">
        <v>1</v>
      </c>
      <c r="AL18" t="n">
        <v>0</v>
      </c>
      <c r="AM18" t="n">
        <v>3</v>
      </c>
      <c r="AN18" t="n">
        <v>1</v>
      </c>
      <c r="AO18" t="n">
        <v>2</v>
      </c>
      <c r="AP18" t="n">
        <v>1</v>
      </c>
      <c r="AQ18" t="n">
        <v>0</v>
      </c>
      <c r="AR18" t="n">
        <v>3</v>
      </c>
      <c r="AS18" t="n">
        <v>0</v>
      </c>
    </row>
  </sheetData>
  <mergeCells count="33">
    <mergeCell ref="A2:AB2"/>
    <mergeCell ref="Q5:V5"/>
    <mergeCell ref="A15:E15"/>
    <mergeCell ref="K15:O15"/>
    <mergeCell ref="A11:B11"/>
    <mergeCell ref="U15:Y15"/>
    <mergeCell ref="B8:B9"/>
    <mergeCell ref="E13:AB13"/>
    <mergeCell ref="A13:D13"/>
    <mergeCell ref="Q8:R8"/>
    <mergeCell ref="K8:P8"/>
    <mergeCell ref="Q6:V6"/>
    <mergeCell ref="F15:J15"/>
    <mergeCell ref="AB8:AB9"/>
    <mergeCell ref="L5:P5"/>
    <mergeCell ref="G6:K6"/>
    <mergeCell ref="A8:A9"/>
    <mergeCell ref="C8:C9"/>
    <mergeCell ref="S8:V8"/>
    <mergeCell ref="D8:D9"/>
    <mergeCell ref="A1:AB1"/>
    <mergeCell ref="G5:K5"/>
    <mergeCell ref="W8:X8"/>
    <mergeCell ref="B6:F6"/>
    <mergeCell ref="W6:AB6"/>
    <mergeCell ref="AA8:AA9"/>
    <mergeCell ref="L6:P6"/>
    <mergeCell ref="B5:F5"/>
    <mergeCell ref="P15:T15"/>
    <mergeCell ref="W5:AB5"/>
    <mergeCell ref="E8:J8"/>
    <mergeCell ref="Y8:Z8"/>
    <mergeCell ref="A3:AB3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S18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8" customWidth="1" min="3" max="3"/>
    <col width="8" customWidth="1" min="4" max="4"/>
    <col width="5" customWidth="1" min="5" max="5"/>
    <col width="6" customWidth="1" min="6" max="6"/>
    <col width="5" customWidth="1" min="7" max="7"/>
    <col width="6" customWidth="1" min="8" max="8"/>
    <col width="5" customWidth="1" min="9" max="9"/>
    <col width="6" customWidth="1" min="10" max="10"/>
    <col width="5" customWidth="1" min="11" max="11"/>
    <col width="6" customWidth="1" min="12" max="12"/>
    <col width="5" customWidth="1" min="13" max="13"/>
    <col width="6" customWidth="1" min="14" max="14"/>
    <col width="5" customWidth="1" min="15" max="15"/>
    <col width="6" customWidth="1" min="16" max="16"/>
    <col width="5" customWidth="1" min="17" max="17"/>
    <col width="6" customWidth="1" min="18" max="18"/>
    <col width="5" customWidth="1" min="19" max="19"/>
    <col width="6" customWidth="1" min="20" max="20"/>
    <col width="5" customWidth="1" min="21" max="21"/>
    <col width="6" customWidth="1" min="22" max="22"/>
    <col width="5" customWidth="1" min="23" max="23"/>
    <col width="6" customWidth="1" min="24" max="24"/>
    <col width="5" customWidth="1" min="25" max="25"/>
    <col width="6" customWidth="1" min="26" max="26"/>
    <col width="10" customWidth="1" min="27" max="27"/>
    <col width="8" customWidth="1" min="28" max="28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</cols>
  <sheetData>
    <row r="1" ht="28" customHeight="1">
      <c r="A1" s="23" t="inlineStr">
        <is>
          <t>SEKOLAH MENENGAH KEBANGSAAN KELANA JAYA</t>
        </is>
      </c>
    </row>
    <row r="2" ht="20" customHeight="1">
      <c r="A2" s="24" t="inlineStr">
        <is>
          <t>ANALISIS PEPERIKSAAN PERTENGAHAN TAHUN 2026 — TINGKATAN 5</t>
        </is>
      </c>
    </row>
    <row r="3" ht="24" customHeight="1">
      <c r="A3" s="25" t="inlineStr">
        <is>
          <t>4541  KIMIA</t>
        </is>
      </c>
    </row>
    <row r="5" ht="16" customHeight="1">
      <c r="B5" s="26" t="inlineStr">
        <is>
          <t>JLH DAFTAR</t>
        </is>
      </c>
      <c r="G5" s="26" t="inlineStr">
        <is>
          <t>JLH HADIR</t>
        </is>
      </c>
      <c r="L5" s="26" t="inlineStr">
        <is>
          <t>% LULUS</t>
        </is>
      </c>
      <c r="Q5" s="26" t="inlineStr">
        <is>
          <t>GRED PURATA (GP)</t>
        </is>
      </c>
      <c r="W5" s="26" t="inlineStr">
        <is>
          <t>STATUS</t>
        </is>
      </c>
    </row>
    <row r="6" ht="22" customHeight="1">
      <c r="B6" s="27" t="n">
        <v>11</v>
      </c>
      <c r="G6" s="27" t="n">
        <v>11</v>
      </c>
      <c r="L6" s="29" t="inlineStr">
        <is>
          <t>45.45%</t>
        </is>
      </c>
      <c r="Q6" s="77" t="inlineStr">
        <is>
          <t>7.18</t>
        </is>
      </c>
      <c r="W6" s="77" t="inlineStr">
        <is>
          <t>🚨 KRITIKAL</t>
        </is>
      </c>
    </row>
    <row r="8" ht="18" customHeight="1">
      <c r="A8" s="30" t="inlineStr">
        <is>
          <t>BIL</t>
        </is>
      </c>
      <c r="B8" s="30" t="inlineStr">
        <is>
          <t>KELAS</t>
        </is>
      </c>
      <c r="C8" s="30" t="inlineStr">
        <is>
          <t>DAFTAR</t>
        </is>
      </c>
      <c r="D8" s="30" t="inlineStr">
        <is>
          <t>HADIR</t>
        </is>
      </c>
      <c r="E8" s="31" t="inlineStr">
        <is>
          <t>CEMERLANG</t>
        </is>
      </c>
      <c r="K8" s="32" t="inlineStr">
        <is>
          <t>SEDERHANA</t>
        </is>
      </c>
      <c r="Q8" s="33" t="inlineStr">
        <is>
          <t>LULUS</t>
        </is>
      </c>
      <c r="S8" s="34" t="inlineStr">
        <is>
          <t>GAGAL</t>
        </is>
      </c>
      <c r="W8" s="35" t="inlineStr">
        <is>
          <t>GAGAL (G)</t>
        </is>
      </c>
      <c r="Y8" s="36" t="inlineStr">
        <is>
          <t>TH</t>
        </is>
      </c>
      <c r="AA8" s="37" t="inlineStr">
        <is>
          <t>% LULUS</t>
        </is>
      </c>
      <c r="AB8" s="30" t="inlineStr">
        <is>
          <t>GP</t>
        </is>
      </c>
    </row>
    <row r="9" ht="15" customHeight="1">
      <c r="E9" s="38" t="inlineStr">
        <is>
          <t>A+</t>
        </is>
      </c>
      <c r="F9" s="38" t="inlineStr">
        <is>
          <t>%</t>
        </is>
      </c>
      <c r="G9" s="38" t="inlineStr">
        <is>
          <t>A</t>
        </is>
      </c>
      <c r="H9" s="38" t="inlineStr">
        <is>
          <t>%</t>
        </is>
      </c>
      <c r="I9" s="38" t="inlineStr">
        <is>
          <t>A-</t>
        </is>
      </c>
      <c r="J9" s="38" t="inlineStr">
        <is>
          <t>%</t>
        </is>
      </c>
      <c r="K9" s="39" t="inlineStr">
        <is>
          <t>B+</t>
        </is>
      </c>
      <c r="L9" s="39" t="inlineStr">
        <is>
          <t>%</t>
        </is>
      </c>
      <c r="M9" s="39" t="inlineStr">
        <is>
          <t>B</t>
        </is>
      </c>
      <c r="N9" s="39" t="inlineStr">
        <is>
          <t>%</t>
        </is>
      </c>
      <c r="O9" s="39" t="inlineStr">
        <is>
          <t>C+</t>
        </is>
      </c>
      <c r="P9" s="39" t="inlineStr">
        <is>
          <t>%</t>
        </is>
      </c>
      <c r="Q9" s="40" t="inlineStr">
        <is>
          <t>C</t>
        </is>
      </c>
      <c r="R9" s="40" t="inlineStr">
        <is>
          <t>%</t>
        </is>
      </c>
      <c r="S9" s="41" t="inlineStr">
        <is>
          <t>D</t>
        </is>
      </c>
      <c r="T9" s="41" t="inlineStr">
        <is>
          <t>%</t>
        </is>
      </c>
      <c r="U9" s="41" t="inlineStr">
        <is>
          <t>E</t>
        </is>
      </c>
      <c r="V9" s="41" t="inlineStr">
        <is>
          <t>%</t>
        </is>
      </c>
      <c r="W9" s="42" t="inlineStr">
        <is>
          <t>G</t>
        </is>
      </c>
      <c r="X9" s="42" t="inlineStr">
        <is>
          <t>%</t>
        </is>
      </c>
      <c r="Y9" s="43" t="inlineStr">
        <is>
          <t>TH</t>
        </is>
      </c>
      <c r="Z9" s="43" t="inlineStr">
        <is>
          <t>%</t>
        </is>
      </c>
    </row>
    <row r="10" ht="18" customHeight="1">
      <c r="A10" s="44" t="n">
        <v>1</v>
      </c>
      <c r="B10" s="45" t="inlineStr">
        <is>
          <t>5 SAINS</t>
        </is>
      </c>
      <c r="C10" s="46" t="n">
        <v>11</v>
      </c>
      <c r="D10" s="46" t="n">
        <v>11</v>
      </c>
      <c r="E10" s="47" t="inlineStr">
        <is>
          <t>-</t>
        </is>
      </c>
      <c r="F10" s="47" t="inlineStr">
        <is>
          <t>-</t>
        </is>
      </c>
      <c r="G10" s="47" t="inlineStr">
        <is>
          <t>-</t>
        </is>
      </c>
      <c r="H10" s="47" t="inlineStr">
        <is>
          <t>-</t>
        </is>
      </c>
      <c r="I10" s="47" t="inlineStr">
        <is>
          <t>-</t>
        </is>
      </c>
      <c r="J10" s="47" t="inlineStr">
        <is>
          <t>-</t>
        </is>
      </c>
      <c r="K10" s="49" t="inlineStr">
        <is>
          <t>2</t>
        </is>
      </c>
      <c r="L10" s="49" t="inlineStr">
        <is>
          <t>18.2</t>
        </is>
      </c>
      <c r="M10" s="47" t="inlineStr">
        <is>
          <t>-</t>
        </is>
      </c>
      <c r="N10" s="47" t="inlineStr">
        <is>
          <t>-</t>
        </is>
      </c>
      <c r="O10" s="47" t="inlineStr">
        <is>
          <t>-</t>
        </is>
      </c>
      <c r="P10" s="47" t="inlineStr">
        <is>
          <t>-</t>
        </is>
      </c>
      <c r="Q10" s="63" t="inlineStr">
        <is>
          <t>2</t>
        </is>
      </c>
      <c r="R10" s="63" t="inlineStr">
        <is>
          <t>18.2</t>
        </is>
      </c>
      <c r="S10" s="50" t="inlineStr">
        <is>
          <t>1</t>
        </is>
      </c>
      <c r="T10" s="50" t="inlineStr">
        <is>
          <t>9.1</t>
        </is>
      </c>
      <c r="U10" s="47" t="inlineStr">
        <is>
          <t>-</t>
        </is>
      </c>
      <c r="V10" s="47" t="inlineStr">
        <is>
          <t>-</t>
        </is>
      </c>
      <c r="W10" s="50" t="inlineStr">
        <is>
          <t>6</t>
        </is>
      </c>
      <c r="X10" s="50" t="inlineStr">
        <is>
          <t>54.5</t>
        </is>
      </c>
      <c r="Y10" s="47" t="inlineStr">
        <is>
          <t>-</t>
        </is>
      </c>
      <c r="Z10" s="47" t="inlineStr">
        <is>
          <t>-</t>
        </is>
      </c>
      <c r="AA10" s="80" t="inlineStr">
        <is>
          <t>45.5%</t>
        </is>
      </c>
      <c r="AB10" s="64" t="inlineStr">
        <is>
          <t>7.18</t>
        </is>
      </c>
    </row>
    <row r="11" ht="20" customHeight="1">
      <c r="A11" s="30" t="inlineStr">
        <is>
          <t>JUMLAH / GP</t>
        </is>
      </c>
      <c r="C11" s="65" t="n">
        <v>11</v>
      </c>
      <c r="D11" s="65" t="n">
        <v>11</v>
      </c>
      <c r="E11" s="66" t="inlineStr">
        <is>
          <t>-</t>
        </is>
      </c>
      <c r="F11" s="66" t="inlineStr">
        <is>
          <t>-</t>
        </is>
      </c>
      <c r="G11" s="66" t="inlineStr">
        <is>
          <t>-</t>
        </is>
      </c>
      <c r="H11" s="66" t="inlineStr">
        <is>
          <t>-</t>
        </is>
      </c>
      <c r="I11" s="66" t="inlineStr">
        <is>
          <t>-</t>
        </is>
      </c>
      <c r="J11" s="66" t="inlineStr">
        <is>
          <t>-</t>
        </is>
      </c>
      <c r="K11" s="68" t="inlineStr">
        <is>
          <t>2</t>
        </is>
      </c>
      <c r="L11" s="68" t="inlineStr">
        <is>
          <t>18.2</t>
        </is>
      </c>
      <c r="M11" s="66" t="inlineStr">
        <is>
          <t>-</t>
        </is>
      </c>
      <c r="N11" s="66" t="inlineStr">
        <is>
          <t>-</t>
        </is>
      </c>
      <c r="O11" s="66" t="inlineStr">
        <is>
          <t>-</t>
        </is>
      </c>
      <c r="P11" s="66" t="inlineStr">
        <is>
          <t>-</t>
        </is>
      </c>
      <c r="Q11" s="69" t="inlineStr">
        <is>
          <t>2</t>
        </is>
      </c>
      <c r="R11" s="69" t="inlineStr">
        <is>
          <t>18.2</t>
        </is>
      </c>
      <c r="S11" s="70" t="inlineStr">
        <is>
          <t>1</t>
        </is>
      </c>
      <c r="T11" s="70" t="inlineStr">
        <is>
          <t>9.1</t>
        </is>
      </c>
      <c r="U11" s="66" t="inlineStr">
        <is>
          <t>-</t>
        </is>
      </c>
      <c r="V11" s="66" t="inlineStr">
        <is>
          <t>-</t>
        </is>
      </c>
      <c r="W11" s="70" t="inlineStr">
        <is>
          <t>6</t>
        </is>
      </c>
      <c r="X11" s="70" t="inlineStr">
        <is>
          <t>54.5</t>
        </is>
      </c>
      <c r="Y11" s="66" t="inlineStr">
        <is>
          <t>-</t>
        </is>
      </c>
      <c r="Z11" s="66" t="inlineStr">
        <is>
          <t>-</t>
        </is>
      </c>
      <c r="AA11" s="68" t="inlineStr">
        <is>
          <t>45.45%</t>
        </is>
      </c>
      <c r="AB11" s="70" t="inlineStr">
        <is>
          <t>7.18</t>
        </is>
      </c>
    </row>
    <row r="13" ht="22" customHeight="1">
      <c r="A13" s="30" t="inlineStr">
        <is>
          <t>STATUS PENCAPAIAN</t>
        </is>
      </c>
      <c r="E13" s="17" t="inlineStr">
        <is>
          <t>🚨 KRITIKAL   |   GP: 7.18   |   % LULUS: 45.45%</t>
        </is>
      </c>
    </row>
    <row r="15" ht="15" customHeight="1">
      <c r="A15" s="71" t="inlineStr">
        <is>
          <t>🏆 CEMERLANG  GP ≤ 2.0</t>
        </is>
      </c>
      <c r="F15" s="72" t="inlineStr">
        <is>
          <t>✅ BAIK  GP 2.01–3.00</t>
        </is>
      </c>
      <c r="K15" s="73" t="inlineStr">
        <is>
          <t>⚠️ SEDERHANA  GP 3.01–5.00</t>
        </is>
      </c>
      <c r="P15" s="74" t="inlineStr">
        <is>
          <t>⛔ LEMAH  GP 5.01–7.00</t>
        </is>
      </c>
      <c r="U15" s="75" t="inlineStr">
        <is>
          <t>🚨 KRITIKAL  GP &gt; 7.00</t>
        </is>
      </c>
    </row>
    <row r="17">
      <c r="AF17" t="inlineStr">
        <is>
          <t>KELAS</t>
        </is>
      </c>
      <c r="AG17" t="inlineStr">
        <is>
          <t>% LULUS</t>
        </is>
      </c>
      <c r="AH17" t="inlineStr">
        <is>
          <t>GP</t>
        </is>
      </c>
      <c r="AI17" t="inlineStr">
        <is>
          <t>A+</t>
        </is>
      </c>
      <c r="AJ17" t="inlineStr">
        <is>
          <t>A</t>
        </is>
      </c>
      <c r="AK17" t="inlineStr">
        <is>
          <t>A-</t>
        </is>
      </c>
      <c r="AL17" t="inlineStr">
        <is>
          <t>B+</t>
        </is>
      </c>
      <c r="AM17" t="inlineStr">
        <is>
          <t>B</t>
        </is>
      </c>
      <c r="AN17" t="inlineStr">
        <is>
          <t>C+</t>
        </is>
      </c>
      <c r="AO17" t="inlineStr">
        <is>
          <t>C</t>
        </is>
      </c>
      <c r="AP17" t="inlineStr">
        <is>
          <t>D</t>
        </is>
      </c>
      <c r="AQ17" t="inlineStr">
        <is>
          <t>E</t>
        </is>
      </c>
      <c r="AR17" t="inlineStr">
        <is>
          <t>G</t>
        </is>
      </c>
      <c r="AS17" t="inlineStr">
        <is>
          <t>TH</t>
        </is>
      </c>
    </row>
    <row r="18">
      <c r="AF18" t="inlineStr">
        <is>
          <t>5 SAINS</t>
        </is>
      </c>
      <c r="AG18" t="n">
        <v>45.5</v>
      </c>
      <c r="AH18" t="n">
        <v>7.18</v>
      </c>
      <c r="AI18" t="n">
        <v>0</v>
      </c>
      <c r="AJ18" t="n">
        <v>0</v>
      </c>
      <c r="AK18" t="n">
        <v>0</v>
      </c>
      <c r="AL18" t="n">
        <v>2</v>
      </c>
      <c r="AM18" t="n">
        <v>0</v>
      </c>
      <c r="AN18" t="n">
        <v>0</v>
      </c>
      <c r="AO18" t="n">
        <v>2</v>
      </c>
      <c r="AP18" t="n">
        <v>1</v>
      </c>
      <c r="AQ18" t="n">
        <v>0</v>
      </c>
      <c r="AR18" t="n">
        <v>6</v>
      </c>
      <c r="AS18" t="n">
        <v>0</v>
      </c>
    </row>
  </sheetData>
  <mergeCells count="33">
    <mergeCell ref="A2:AB2"/>
    <mergeCell ref="Q5:V5"/>
    <mergeCell ref="A15:E15"/>
    <mergeCell ref="K15:O15"/>
    <mergeCell ref="A11:B11"/>
    <mergeCell ref="U15:Y15"/>
    <mergeCell ref="B8:B9"/>
    <mergeCell ref="E13:AB13"/>
    <mergeCell ref="A13:D13"/>
    <mergeCell ref="Q8:R8"/>
    <mergeCell ref="K8:P8"/>
    <mergeCell ref="Q6:V6"/>
    <mergeCell ref="F15:J15"/>
    <mergeCell ref="AB8:AB9"/>
    <mergeCell ref="L5:P5"/>
    <mergeCell ref="G6:K6"/>
    <mergeCell ref="A8:A9"/>
    <mergeCell ref="C8:C9"/>
    <mergeCell ref="S8:V8"/>
    <mergeCell ref="D8:D9"/>
    <mergeCell ref="A1:AB1"/>
    <mergeCell ref="G5:K5"/>
    <mergeCell ref="W8:X8"/>
    <mergeCell ref="B6:F6"/>
    <mergeCell ref="W6:AB6"/>
    <mergeCell ref="AA8:AA9"/>
    <mergeCell ref="L6:P6"/>
    <mergeCell ref="B5:F5"/>
    <mergeCell ref="P15:T15"/>
    <mergeCell ref="W5:AB5"/>
    <mergeCell ref="E8:J8"/>
    <mergeCell ref="Y8:Z8"/>
    <mergeCell ref="A3:AB3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S20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8" customWidth="1" min="3" max="3"/>
    <col width="8" customWidth="1" min="4" max="4"/>
    <col width="5" customWidth="1" min="5" max="5"/>
    <col width="6" customWidth="1" min="6" max="6"/>
    <col width="5" customWidth="1" min="7" max="7"/>
    <col width="6" customWidth="1" min="8" max="8"/>
    <col width="5" customWidth="1" min="9" max="9"/>
    <col width="6" customWidth="1" min="10" max="10"/>
    <col width="5" customWidth="1" min="11" max="11"/>
    <col width="6" customWidth="1" min="12" max="12"/>
    <col width="5" customWidth="1" min="13" max="13"/>
    <col width="6" customWidth="1" min="14" max="14"/>
    <col width="5" customWidth="1" min="15" max="15"/>
    <col width="6" customWidth="1" min="16" max="16"/>
    <col width="5" customWidth="1" min="17" max="17"/>
    <col width="6" customWidth="1" min="18" max="18"/>
    <col width="5" customWidth="1" min="19" max="19"/>
    <col width="6" customWidth="1" min="20" max="20"/>
    <col width="5" customWidth="1" min="21" max="21"/>
    <col width="6" customWidth="1" min="22" max="22"/>
    <col width="5" customWidth="1" min="23" max="23"/>
    <col width="6" customWidth="1" min="24" max="24"/>
    <col width="5" customWidth="1" min="25" max="25"/>
    <col width="6" customWidth="1" min="26" max="26"/>
    <col width="10" customWidth="1" min="27" max="27"/>
    <col width="8" customWidth="1" min="28" max="28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</cols>
  <sheetData>
    <row r="1" ht="28" customHeight="1">
      <c r="A1" s="23" t="inlineStr">
        <is>
          <t>SEKOLAH MENENGAH KEBANGSAAN KELANA JAYA</t>
        </is>
      </c>
    </row>
    <row r="2" ht="20" customHeight="1">
      <c r="A2" s="24" t="inlineStr">
        <is>
          <t>ANALISIS PEPERIKSAAN PERTENGAHAN TAHUN 2026 — TINGKATAN 5</t>
        </is>
      </c>
    </row>
    <row r="3" ht="24" customHeight="1">
      <c r="A3" s="25" t="inlineStr">
        <is>
          <t>3472  MATEMATIK TAMBAHAN</t>
        </is>
      </c>
    </row>
    <row r="5" ht="16" customHeight="1">
      <c r="B5" s="26" t="inlineStr">
        <is>
          <t>JLH DAFTAR</t>
        </is>
      </c>
      <c r="G5" s="26" t="inlineStr">
        <is>
          <t>JLH HADIR</t>
        </is>
      </c>
      <c r="L5" s="26" t="inlineStr">
        <is>
          <t>% LULUS</t>
        </is>
      </c>
      <c r="Q5" s="26" t="inlineStr">
        <is>
          <t>GRED PURATA (GP)</t>
        </is>
      </c>
      <c r="W5" s="26" t="inlineStr">
        <is>
          <t>STATUS</t>
        </is>
      </c>
    </row>
    <row r="6" ht="22" customHeight="1">
      <c r="B6" s="27" t="n">
        <v>24</v>
      </c>
      <c r="G6" s="27" t="n">
        <v>24</v>
      </c>
      <c r="L6" s="77" t="inlineStr">
        <is>
          <t>4.17%</t>
        </is>
      </c>
      <c r="Q6" s="77" t="inlineStr">
        <is>
          <t>8.88</t>
        </is>
      </c>
      <c r="W6" s="77" t="inlineStr">
        <is>
          <t>🚨 KRITIKAL</t>
        </is>
      </c>
    </row>
    <row r="8" ht="18" customHeight="1">
      <c r="A8" s="30" t="inlineStr">
        <is>
          <t>BIL</t>
        </is>
      </c>
      <c r="B8" s="30" t="inlineStr">
        <is>
          <t>KELAS</t>
        </is>
      </c>
      <c r="C8" s="30" t="inlineStr">
        <is>
          <t>DAFTAR</t>
        </is>
      </c>
      <c r="D8" s="30" t="inlineStr">
        <is>
          <t>HADIR</t>
        </is>
      </c>
      <c r="E8" s="31" t="inlineStr">
        <is>
          <t>CEMERLANG</t>
        </is>
      </c>
      <c r="K8" s="32" t="inlineStr">
        <is>
          <t>SEDERHANA</t>
        </is>
      </c>
      <c r="Q8" s="33" t="inlineStr">
        <is>
          <t>LULUS</t>
        </is>
      </c>
      <c r="S8" s="34" t="inlineStr">
        <is>
          <t>GAGAL</t>
        </is>
      </c>
      <c r="W8" s="35" t="inlineStr">
        <is>
          <t>GAGAL (G)</t>
        </is>
      </c>
      <c r="Y8" s="36" t="inlineStr">
        <is>
          <t>TH</t>
        </is>
      </c>
      <c r="AA8" s="37" t="inlineStr">
        <is>
          <t>% LULUS</t>
        </is>
      </c>
      <c r="AB8" s="30" t="inlineStr">
        <is>
          <t>GP</t>
        </is>
      </c>
    </row>
    <row r="9" ht="15" customHeight="1">
      <c r="E9" s="38" t="inlineStr">
        <is>
          <t>A+</t>
        </is>
      </c>
      <c r="F9" s="38" t="inlineStr">
        <is>
          <t>%</t>
        </is>
      </c>
      <c r="G9" s="38" t="inlineStr">
        <is>
          <t>A</t>
        </is>
      </c>
      <c r="H9" s="38" t="inlineStr">
        <is>
          <t>%</t>
        </is>
      </c>
      <c r="I9" s="38" t="inlineStr">
        <is>
          <t>A-</t>
        </is>
      </c>
      <c r="J9" s="38" t="inlineStr">
        <is>
          <t>%</t>
        </is>
      </c>
      <c r="K9" s="39" t="inlineStr">
        <is>
          <t>B+</t>
        </is>
      </c>
      <c r="L9" s="39" t="inlineStr">
        <is>
          <t>%</t>
        </is>
      </c>
      <c r="M9" s="39" t="inlineStr">
        <is>
          <t>B</t>
        </is>
      </c>
      <c r="N9" s="39" t="inlineStr">
        <is>
          <t>%</t>
        </is>
      </c>
      <c r="O9" s="39" t="inlineStr">
        <is>
          <t>C+</t>
        </is>
      </c>
      <c r="P9" s="39" t="inlineStr">
        <is>
          <t>%</t>
        </is>
      </c>
      <c r="Q9" s="40" t="inlineStr">
        <is>
          <t>C</t>
        </is>
      </c>
      <c r="R9" s="40" t="inlineStr">
        <is>
          <t>%</t>
        </is>
      </c>
      <c r="S9" s="41" t="inlineStr">
        <is>
          <t>D</t>
        </is>
      </c>
      <c r="T9" s="41" t="inlineStr">
        <is>
          <t>%</t>
        </is>
      </c>
      <c r="U9" s="41" t="inlineStr">
        <is>
          <t>E</t>
        </is>
      </c>
      <c r="V9" s="41" t="inlineStr">
        <is>
          <t>%</t>
        </is>
      </c>
      <c r="W9" s="42" t="inlineStr">
        <is>
          <t>G</t>
        </is>
      </c>
      <c r="X9" s="42" t="inlineStr">
        <is>
          <t>%</t>
        </is>
      </c>
      <c r="Y9" s="43" t="inlineStr">
        <is>
          <t>TH</t>
        </is>
      </c>
      <c r="Z9" s="43" t="inlineStr">
        <is>
          <t>%</t>
        </is>
      </c>
    </row>
    <row r="10" ht="18" customHeight="1">
      <c r="A10" s="44" t="n">
        <v>1</v>
      </c>
      <c r="B10" s="45" t="inlineStr">
        <is>
          <t>5 AKAUN</t>
        </is>
      </c>
      <c r="C10" s="46" t="n">
        <v>13</v>
      </c>
      <c r="D10" s="46" t="n">
        <v>13</v>
      </c>
      <c r="E10" s="47" t="inlineStr">
        <is>
          <t>-</t>
        </is>
      </c>
      <c r="F10" s="47" t="inlineStr">
        <is>
          <t>-</t>
        </is>
      </c>
      <c r="G10" s="47" t="inlineStr">
        <is>
          <t>-</t>
        </is>
      </c>
      <c r="H10" s="47" t="inlineStr">
        <is>
          <t>-</t>
        </is>
      </c>
      <c r="I10" s="47" t="inlineStr">
        <is>
          <t>-</t>
        </is>
      </c>
      <c r="J10" s="47" t="inlineStr">
        <is>
          <t>-</t>
        </is>
      </c>
      <c r="K10" s="47" t="inlineStr">
        <is>
          <t>-</t>
        </is>
      </c>
      <c r="L10" s="47" t="inlineStr">
        <is>
          <t>-</t>
        </is>
      </c>
      <c r="M10" s="47" t="inlineStr">
        <is>
          <t>-</t>
        </is>
      </c>
      <c r="N10" s="47" t="inlineStr">
        <is>
          <t>-</t>
        </is>
      </c>
      <c r="O10" s="47" t="inlineStr">
        <is>
          <t>-</t>
        </is>
      </c>
      <c r="P10" s="47" t="inlineStr">
        <is>
          <t>-</t>
        </is>
      </c>
      <c r="Q10" s="47" t="inlineStr">
        <is>
          <t>-</t>
        </is>
      </c>
      <c r="R10" s="47" t="inlineStr">
        <is>
          <t>-</t>
        </is>
      </c>
      <c r="S10" s="47" t="inlineStr">
        <is>
          <t>-</t>
        </is>
      </c>
      <c r="T10" s="47" t="inlineStr">
        <is>
          <t>-</t>
        </is>
      </c>
      <c r="U10" s="47" t="inlineStr">
        <is>
          <t>-</t>
        </is>
      </c>
      <c r="V10" s="47" t="inlineStr">
        <is>
          <t>-</t>
        </is>
      </c>
      <c r="W10" s="50" t="inlineStr">
        <is>
          <t>13</t>
        </is>
      </c>
      <c r="X10" s="50" t="inlineStr">
        <is>
          <t>100.0</t>
        </is>
      </c>
      <c r="Y10" s="47" t="inlineStr">
        <is>
          <t>-</t>
        </is>
      </c>
      <c r="Z10" s="47" t="inlineStr">
        <is>
          <t>-</t>
        </is>
      </c>
      <c r="AA10" s="64" t="inlineStr">
        <is>
          <t>0.0%</t>
        </is>
      </c>
      <c r="AB10" s="64" t="inlineStr">
        <is>
          <t>9.00</t>
        </is>
      </c>
    </row>
    <row r="11" ht="18" customHeight="1">
      <c r="A11" s="53" t="n">
        <v>2</v>
      </c>
      <c r="B11" s="54" t="inlineStr">
        <is>
          <t>5 SAINS</t>
        </is>
      </c>
      <c r="C11" s="55" t="n">
        <v>11</v>
      </c>
      <c r="D11" s="55" t="n">
        <v>11</v>
      </c>
      <c r="E11" s="56" t="inlineStr">
        <is>
          <t>-</t>
        </is>
      </c>
      <c r="F11" s="56" t="inlineStr">
        <is>
          <t>-</t>
        </is>
      </c>
      <c r="G11" s="56" t="inlineStr">
        <is>
          <t>-</t>
        </is>
      </c>
      <c r="H11" s="56" t="inlineStr">
        <is>
          <t>-</t>
        </is>
      </c>
      <c r="I11" s="56" t="inlineStr">
        <is>
          <t>-</t>
        </is>
      </c>
      <c r="J11" s="56" t="inlineStr">
        <is>
          <t>-</t>
        </is>
      </c>
      <c r="K11" s="56" t="inlineStr">
        <is>
          <t>-</t>
        </is>
      </c>
      <c r="L11" s="56" t="inlineStr">
        <is>
          <t>-</t>
        </is>
      </c>
      <c r="M11" s="56" t="inlineStr">
        <is>
          <t>-</t>
        </is>
      </c>
      <c r="N11" s="56" t="inlineStr">
        <is>
          <t>-</t>
        </is>
      </c>
      <c r="O11" s="56" t="inlineStr">
        <is>
          <t>-</t>
        </is>
      </c>
      <c r="P11" s="56" t="inlineStr">
        <is>
          <t>-</t>
        </is>
      </c>
      <c r="Q11" s="59" t="inlineStr">
        <is>
          <t>1</t>
        </is>
      </c>
      <c r="R11" s="59" t="inlineStr">
        <is>
          <t>9.1</t>
        </is>
      </c>
      <c r="S11" s="56" t="inlineStr">
        <is>
          <t>-</t>
        </is>
      </c>
      <c r="T11" s="56" t="inlineStr">
        <is>
          <t>-</t>
        </is>
      </c>
      <c r="U11" s="56" t="inlineStr">
        <is>
          <t>-</t>
        </is>
      </c>
      <c r="V11" s="56" t="inlineStr">
        <is>
          <t>-</t>
        </is>
      </c>
      <c r="W11" s="60" t="inlineStr">
        <is>
          <t>10</t>
        </is>
      </c>
      <c r="X11" s="60" t="inlineStr">
        <is>
          <t>90.9</t>
        </is>
      </c>
      <c r="Y11" s="56" t="inlineStr">
        <is>
          <t>-</t>
        </is>
      </c>
      <c r="Z11" s="56" t="inlineStr">
        <is>
          <t>-</t>
        </is>
      </c>
      <c r="AA11" s="78" t="inlineStr">
        <is>
          <t>9.1%</t>
        </is>
      </c>
      <c r="AB11" s="78" t="inlineStr">
        <is>
          <t>8.73</t>
        </is>
      </c>
    </row>
    <row r="12" ht="20" customHeight="1">
      <c r="A12" s="30" t="inlineStr">
        <is>
          <t>JUMLAH / GP</t>
        </is>
      </c>
      <c r="C12" s="65" t="n">
        <v>24</v>
      </c>
      <c r="D12" s="65" t="n">
        <v>24</v>
      </c>
      <c r="E12" s="66" t="inlineStr">
        <is>
          <t>-</t>
        </is>
      </c>
      <c r="F12" s="66" t="inlineStr">
        <is>
          <t>-</t>
        </is>
      </c>
      <c r="G12" s="66" t="inlineStr">
        <is>
          <t>-</t>
        </is>
      </c>
      <c r="H12" s="66" t="inlineStr">
        <is>
          <t>-</t>
        </is>
      </c>
      <c r="I12" s="66" t="inlineStr">
        <is>
          <t>-</t>
        </is>
      </c>
      <c r="J12" s="66" t="inlineStr">
        <is>
          <t>-</t>
        </is>
      </c>
      <c r="K12" s="66" t="inlineStr">
        <is>
          <t>-</t>
        </is>
      </c>
      <c r="L12" s="66" t="inlineStr">
        <is>
          <t>-</t>
        </is>
      </c>
      <c r="M12" s="66" t="inlineStr">
        <is>
          <t>-</t>
        </is>
      </c>
      <c r="N12" s="66" t="inlineStr">
        <is>
          <t>-</t>
        </is>
      </c>
      <c r="O12" s="66" t="inlineStr">
        <is>
          <t>-</t>
        </is>
      </c>
      <c r="P12" s="66" t="inlineStr">
        <is>
          <t>-</t>
        </is>
      </c>
      <c r="Q12" s="69" t="inlineStr">
        <is>
          <t>1</t>
        </is>
      </c>
      <c r="R12" s="69" t="inlineStr">
        <is>
          <t>4.2</t>
        </is>
      </c>
      <c r="S12" s="66" t="inlineStr">
        <is>
          <t>-</t>
        </is>
      </c>
      <c r="T12" s="66" t="inlineStr">
        <is>
          <t>-</t>
        </is>
      </c>
      <c r="U12" s="66" t="inlineStr">
        <is>
          <t>-</t>
        </is>
      </c>
      <c r="V12" s="66" t="inlineStr">
        <is>
          <t>-</t>
        </is>
      </c>
      <c r="W12" s="70" t="inlineStr">
        <is>
          <t>23</t>
        </is>
      </c>
      <c r="X12" s="70" t="inlineStr">
        <is>
          <t>95.8</t>
        </is>
      </c>
      <c r="Y12" s="66" t="inlineStr">
        <is>
          <t>-</t>
        </is>
      </c>
      <c r="Z12" s="66" t="inlineStr">
        <is>
          <t>-</t>
        </is>
      </c>
      <c r="AA12" s="70" t="inlineStr">
        <is>
          <t>4.17%</t>
        </is>
      </c>
      <c r="AB12" s="70" t="inlineStr">
        <is>
          <t>8.88</t>
        </is>
      </c>
    </row>
    <row r="14" ht="22" customHeight="1">
      <c r="A14" s="30" t="inlineStr">
        <is>
          <t>STATUS PENCAPAIAN</t>
        </is>
      </c>
      <c r="E14" s="17" t="inlineStr">
        <is>
          <t>🚨 KRITIKAL   |   GP: 8.88   |   % LULUS: 4.17%</t>
        </is>
      </c>
    </row>
    <row r="16" ht="15" customHeight="1">
      <c r="A16" s="71" t="inlineStr">
        <is>
          <t>🏆 CEMERLANG  GP ≤ 2.0</t>
        </is>
      </c>
      <c r="F16" s="72" t="inlineStr">
        <is>
          <t>✅ BAIK  GP 2.01–3.00</t>
        </is>
      </c>
      <c r="K16" s="73" t="inlineStr">
        <is>
          <t>⚠️ SEDERHANA  GP 3.01–5.00</t>
        </is>
      </c>
      <c r="P16" s="74" t="inlineStr">
        <is>
          <t>⛔ LEMAH  GP 5.01–7.00</t>
        </is>
      </c>
      <c r="U16" s="75" t="inlineStr">
        <is>
          <t>🚨 KRITIKAL  GP &gt; 7.00</t>
        </is>
      </c>
    </row>
    <row r="18">
      <c r="AF18" t="inlineStr">
        <is>
          <t>KELAS</t>
        </is>
      </c>
      <c r="AG18" t="inlineStr">
        <is>
          <t>% LULUS</t>
        </is>
      </c>
      <c r="AH18" t="inlineStr">
        <is>
          <t>GP</t>
        </is>
      </c>
      <c r="AI18" t="inlineStr">
        <is>
          <t>A+</t>
        </is>
      </c>
      <c r="AJ18" t="inlineStr">
        <is>
          <t>A</t>
        </is>
      </c>
      <c r="AK18" t="inlineStr">
        <is>
          <t>A-</t>
        </is>
      </c>
      <c r="AL18" t="inlineStr">
        <is>
          <t>B+</t>
        </is>
      </c>
      <c r="AM18" t="inlineStr">
        <is>
          <t>B</t>
        </is>
      </c>
      <c r="AN18" t="inlineStr">
        <is>
          <t>C+</t>
        </is>
      </c>
      <c r="AO18" t="inlineStr">
        <is>
          <t>C</t>
        </is>
      </c>
      <c r="AP18" t="inlineStr">
        <is>
          <t>D</t>
        </is>
      </c>
      <c r="AQ18" t="inlineStr">
        <is>
          <t>E</t>
        </is>
      </c>
      <c r="AR18" t="inlineStr">
        <is>
          <t>G</t>
        </is>
      </c>
      <c r="AS18" t="inlineStr">
        <is>
          <t>TH</t>
        </is>
      </c>
    </row>
    <row r="19">
      <c r="AF19" t="inlineStr">
        <is>
          <t>5 AKAUN</t>
        </is>
      </c>
      <c r="AG19" t="n">
        <v>0</v>
      </c>
      <c r="AH19" t="n">
        <v>9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13</v>
      </c>
      <c r="AS19" t="n">
        <v>0</v>
      </c>
    </row>
    <row r="20">
      <c r="AF20" t="inlineStr">
        <is>
          <t>5 SAINS</t>
        </is>
      </c>
      <c r="AG20" t="n">
        <v>9.1</v>
      </c>
      <c r="AH20" t="n">
        <v>8.73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0</v>
      </c>
      <c r="AQ20" t="n">
        <v>0</v>
      </c>
      <c r="AR20" t="n">
        <v>10</v>
      </c>
      <c r="AS20" t="n">
        <v>0</v>
      </c>
    </row>
  </sheetData>
  <mergeCells count="33">
    <mergeCell ref="A2:AB2"/>
    <mergeCell ref="K16:O16"/>
    <mergeCell ref="Q5:V5"/>
    <mergeCell ref="F16:J16"/>
    <mergeCell ref="B8:B9"/>
    <mergeCell ref="Q8:R8"/>
    <mergeCell ref="K8:P8"/>
    <mergeCell ref="Q6:V6"/>
    <mergeCell ref="A16:E16"/>
    <mergeCell ref="AB8:AB9"/>
    <mergeCell ref="U16:Y16"/>
    <mergeCell ref="L5:P5"/>
    <mergeCell ref="G6:K6"/>
    <mergeCell ref="A12:B12"/>
    <mergeCell ref="A8:A9"/>
    <mergeCell ref="C8:C9"/>
    <mergeCell ref="S8:V8"/>
    <mergeCell ref="P16:T16"/>
    <mergeCell ref="D8:D9"/>
    <mergeCell ref="A1:AB1"/>
    <mergeCell ref="G5:K5"/>
    <mergeCell ref="W8:X8"/>
    <mergeCell ref="B6:F6"/>
    <mergeCell ref="W6:AB6"/>
    <mergeCell ref="AA8:AA9"/>
    <mergeCell ref="L6:P6"/>
    <mergeCell ref="B5:F5"/>
    <mergeCell ref="W5:AB5"/>
    <mergeCell ref="E8:J8"/>
    <mergeCell ref="Y8:Z8"/>
    <mergeCell ref="A3:AB3"/>
    <mergeCell ref="E14:AB14"/>
    <mergeCell ref="A14:D14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S20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8" customWidth="1" min="3" max="3"/>
    <col width="8" customWidth="1" min="4" max="4"/>
    <col width="5" customWidth="1" min="5" max="5"/>
    <col width="6" customWidth="1" min="6" max="6"/>
    <col width="5" customWidth="1" min="7" max="7"/>
    <col width="6" customWidth="1" min="8" max="8"/>
    <col width="5" customWidth="1" min="9" max="9"/>
    <col width="6" customWidth="1" min="10" max="10"/>
    <col width="5" customWidth="1" min="11" max="11"/>
    <col width="6" customWidth="1" min="12" max="12"/>
    <col width="5" customWidth="1" min="13" max="13"/>
    <col width="6" customWidth="1" min="14" max="14"/>
    <col width="5" customWidth="1" min="15" max="15"/>
    <col width="6" customWidth="1" min="16" max="16"/>
    <col width="5" customWidth="1" min="17" max="17"/>
    <col width="6" customWidth="1" min="18" max="18"/>
    <col width="5" customWidth="1" min="19" max="19"/>
    <col width="6" customWidth="1" min="20" max="20"/>
    <col width="5" customWidth="1" min="21" max="21"/>
    <col width="6" customWidth="1" min="22" max="22"/>
    <col width="5" customWidth="1" min="23" max="23"/>
    <col width="6" customWidth="1" min="24" max="24"/>
    <col width="5" customWidth="1" min="25" max="25"/>
    <col width="6" customWidth="1" min="26" max="26"/>
    <col width="10" customWidth="1" min="27" max="27"/>
    <col width="8" customWidth="1" min="28" max="28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</cols>
  <sheetData>
    <row r="1" ht="28" customHeight="1">
      <c r="A1" s="23" t="inlineStr">
        <is>
          <t>SEKOLAH MENENGAH KEBANGSAAN KELANA JAYA</t>
        </is>
      </c>
    </row>
    <row r="2" ht="20" customHeight="1">
      <c r="A2" s="24" t="inlineStr">
        <is>
          <t>ANALISIS PEPERIKSAAN PERTENGAHAN TAHUN 2026 — TINGKATAN 5</t>
        </is>
      </c>
    </row>
    <row r="3" ht="24" customHeight="1">
      <c r="A3" s="25" t="inlineStr">
        <is>
          <t>2611  PENDIDIKAN SENI VISUAL</t>
        </is>
      </c>
    </row>
    <row r="5" ht="16" customHeight="1">
      <c r="B5" s="26" t="inlineStr">
        <is>
          <t>JLH DAFTAR</t>
        </is>
      </c>
      <c r="G5" s="26" t="inlineStr">
        <is>
          <t>JLH HADIR</t>
        </is>
      </c>
      <c r="L5" s="26" t="inlineStr">
        <is>
          <t>% LULUS</t>
        </is>
      </c>
      <c r="Q5" s="26" t="inlineStr">
        <is>
          <t>GRED PURATA (GP)</t>
        </is>
      </c>
      <c r="W5" s="26" t="inlineStr">
        <is>
          <t>STATUS</t>
        </is>
      </c>
    </row>
    <row r="6" ht="22" customHeight="1">
      <c r="B6" s="27" t="n">
        <v>40</v>
      </c>
      <c r="G6" s="27" t="n">
        <v>33</v>
      </c>
      <c r="L6" s="29" t="inlineStr">
        <is>
          <t>54.55%</t>
        </is>
      </c>
      <c r="Q6" s="79" t="inlineStr">
        <is>
          <t>5.33</t>
        </is>
      </c>
      <c r="W6" s="79" t="inlineStr">
        <is>
          <t>⛔ LEMAH</t>
        </is>
      </c>
    </row>
    <row r="8" ht="18" customHeight="1">
      <c r="A8" s="30" t="inlineStr">
        <is>
          <t>BIL</t>
        </is>
      </c>
      <c r="B8" s="30" t="inlineStr">
        <is>
          <t>KELAS</t>
        </is>
      </c>
      <c r="C8" s="30" t="inlineStr">
        <is>
          <t>DAFTAR</t>
        </is>
      </c>
      <c r="D8" s="30" t="inlineStr">
        <is>
          <t>HADIR</t>
        </is>
      </c>
      <c r="E8" s="31" t="inlineStr">
        <is>
          <t>CEMERLANG</t>
        </is>
      </c>
      <c r="K8" s="32" t="inlineStr">
        <is>
          <t>SEDERHANA</t>
        </is>
      </c>
      <c r="Q8" s="33" t="inlineStr">
        <is>
          <t>LULUS</t>
        </is>
      </c>
      <c r="S8" s="34" t="inlineStr">
        <is>
          <t>GAGAL</t>
        </is>
      </c>
      <c r="W8" s="35" t="inlineStr">
        <is>
          <t>GAGAL (G)</t>
        </is>
      </c>
      <c r="Y8" s="36" t="inlineStr">
        <is>
          <t>TH</t>
        </is>
      </c>
      <c r="AA8" s="37" t="inlineStr">
        <is>
          <t>% LULUS</t>
        </is>
      </c>
      <c r="AB8" s="30" t="inlineStr">
        <is>
          <t>GP</t>
        </is>
      </c>
    </row>
    <row r="9" ht="15" customHeight="1">
      <c r="E9" s="38" t="inlineStr">
        <is>
          <t>A+</t>
        </is>
      </c>
      <c r="F9" s="38" t="inlineStr">
        <is>
          <t>%</t>
        </is>
      </c>
      <c r="G9" s="38" t="inlineStr">
        <is>
          <t>A</t>
        </is>
      </c>
      <c r="H9" s="38" t="inlineStr">
        <is>
          <t>%</t>
        </is>
      </c>
      <c r="I9" s="38" t="inlineStr">
        <is>
          <t>A-</t>
        </is>
      </c>
      <c r="J9" s="38" t="inlineStr">
        <is>
          <t>%</t>
        </is>
      </c>
      <c r="K9" s="39" t="inlineStr">
        <is>
          <t>B+</t>
        </is>
      </c>
      <c r="L9" s="39" t="inlineStr">
        <is>
          <t>%</t>
        </is>
      </c>
      <c r="M9" s="39" t="inlineStr">
        <is>
          <t>B</t>
        </is>
      </c>
      <c r="N9" s="39" t="inlineStr">
        <is>
          <t>%</t>
        </is>
      </c>
      <c r="O9" s="39" t="inlineStr">
        <is>
          <t>C+</t>
        </is>
      </c>
      <c r="P9" s="39" t="inlineStr">
        <is>
          <t>%</t>
        </is>
      </c>
      <c r="Q9" s="40" t="inlineStr">
        <is>
          <t>C</t>
        </is>
      </c>
      <c r="R9" s="40" t="inlineStr">
        <is>
          <t>%</t>
        </is>
      </c>
      <c r="S9" s="41" t="inlineStr">
        <is>
          <t>D</t>
        </is>
      </c>
      <c r="T9" s="41" t="inlineStr">
        <is>
          <t>%</t>
        </is>
      </c>
      <c r="U9" s="41" t="inlineStr">
        <is>
          <t>E</t>
        </is>
      </c>
      <c r="V9" s="41" t="inlineStr">
        <is>
          <t>%</t>
        </is>
      </c>
      <c r="W9" s="42" t="inlineStr">
        <is>
          <t>G</t>
        </is>
      </c>
      <c r="X9" s="42" t="inlineStr">
        <is>
          <t>%</t>
        </is>
      </c>
      <c r="Y9" s="43" t="inlineStr">
        <is>
          <t>TH</t>
        </is>
      </c>
      <c r="Z9" s="43" t="inlineStr">
        <is>
          <t>%</t>
        </is>
      </c>
    </row>
    <row r="10" ht="18" customHeight="1">
      <c r="A10" s="44" t="n">
        <v>1</v>
      </c>
      <c r="B10" s="45" t="inlineStr">
        <is>
          <t>5 EKONOMI</t>
        </is>
      </c>
      <c r="C10" s="46" t="n">
        <v>20</v>
      </c>
      <c r="D10" s="46" t="n">
        <v>17</v>
      </c>
      <c r="E10" s="47" t="inlineStr">
        <is>
          <t>-</t>
        </is>
      </c>
      <c r="F10" s="47" t="inlineStr">
        <is>
          <t>-</t>
        </is>
      </c>
      <c r="G10" s="47" t="inlineStr">
        <is>
          <t>-</t>
        </is>
      </c>
      <c r="H10" s="47" t="inlineStr">
        <is>
          <t>-</t>
        </is>
      </c>
      <c r="I10" s="48" t="inlineStr">
        <is>
          <t>5</t>
        </is>
      </c>
      <c r="J10" s="48" t="inlineStr">
        <is>
          <t>25.0</t>
        </is>
      </c>
      <c r="K10" s="49" t="inlineStr">
        <is>
          <t>6</t>
        </is>
      </c>
      <c r="L10" s="49" t="inlineStr">
        <is>
          <t>30.0</t>
        </is>
      </c>
      <c r="M10" s="49" t="inlineStr">
        <is>
          <t>3</t>
        </is>
      </c>
      <c r="N10" s="49" t="inlineStr">
        <is>
          <t>15.0</t>
        </is>
      </c>
      <c r="O10" s="47" t="inlineStr">
        <is>
          <t>-</t>
        </is>
      </c>
      <c r="P10" s="47" t="inlineStr">
        <is>
          <t>-</t>
        </is>
      </c>
      <c r="Q10" s="63" t="inlineStr">
        <is>
          <t>3</t>
        </is>
      </c>
      <c r="R10" s="63" t="inlineStr">
        <is>
          <t>15.0</t>
        </is>
      </c>
      <c r="S10" s="47" t="inlineStr">
        <is>
          <t>-</t>
        </is>
      </c>
      <c r="T10" s="47" t="inlineStr">
        <is>
          <t>-</t>
        </is>
      </c>
      <c r="U10" s="47" t="inlineStr">
        <is>
          <t>-</t>
        </is>
      </c>
      <c r="V10" s="47" t="inlineStr">
        <is>
          <t>-</t>
        </is>
      </c>
      <c r="W10" s="47" t="inlineStr">
        <is>
          <t>-</t>
        </is>
      </c>
      <c r="X10" s="47" t="inlineStr">
        <is>
          <t>-</t>
        </is>
      </c>
      <c r="Y10" s="50" t="inlineStr">
        <is>
          <t>3</t>
        </is>
      </c>
      <c r="Z10" s="50" t="inlineStr">
        <is>
          <t>15.0</t>
        </is>
      </c>
      <c r="AA10" s="51" t="inlineStr">
        <is>
          <t>82.4%</t>
        </is>
      </c>
      <c r="AB10" s="80" t="inlineStr">
        <is>
          <t>3.41</t>
        </is>
      </c>
    </row>
    <row r="11" ht="18" customHeight="1">
      <c r="A11" s="53" t="n">
        <v>2</v>
      </c>
      <c r="B11" s="54" t="inlineStr">
        <is>
          <t>5 SENI</t>
        </is>
      </c>
      <c r="C11" s="55" t="n">
        <v>20</v>
      </c>
      <c r="D11" s="55" t="n">
        <v>16</v>
      </c>
      <c r="E11" s="56" t="inlineStr">
        <is>
          <t>-</t>
        </is>
      </c>
      <c r="F11" s="56" t="inlineStr">
        <is>
          <t>-</t>
        </is>
      </c>
      <c r="G11" s="56" t="inlineStr">
        <is>
          <t>-</t>
        </is>
      </c>
      <c r="H11" s="56" t="inlineStr">
        <is>
          <t>-</t>
        </is>
      </c>
      <c r="I11" s="56" t="inlineStr">
        <is>
          <t>-</t>
        </is>
      </c>
      <c r="J11" s="56" t="inlineStr">
        <is>
          <t>-</t>
        </is>
      </c>
      <c r="K11" s="58" t="inlineStr">
        <is>
          <t>1</t>
        </is>
      </c>
      <c r="L11" s="58" t="inlineStr">
        <is>
          <t>5.0</t>
        </is>
      </c>
      <c r="M11" s="56" t="inlineStr">
        <is>
          <t>-</t>
        </is>
      </c>
      <c r="N11" s="56" t="inlineStr">
        <is>
          <t>-</t>
        </is>
      </c>
      <c r="O11" s="56" t="inlineStr">
        <is>
          <t>-</t>
        </is>
      </c>
      <c r="P11" s="56" t="inlineStr">
        <is>
          <t>-</t>
        </is>
      </c>
      <c r="Q11" s="59" t="inlineStr">
        <is>
          <t>2</t>
        </is>
      </c>
      <c r="R11" s="59" t="inlineStr">
        <is>
          <t>10.0</t>
        </is>
      </c>
      <c r="S11" s="60" t="inlineStr">
        <is>
          <t>5</t>
        </is>
      </c>
      <c r="T11" s="60" t="inlineStr">
        <is>
          <t>25.0</t>
        </is>
      </c>
      <c r="U11" s="60" t="inlineStr">
        <is>
          <t>4</t>
        </is>
      </c>
      <c r="V11" s="60" t="inlineStr">
        <is>
          <t>20.0</t>
        </is>
      </c>
      <c r="W11" s="60" t="inlineStr">
        <is>
          <t>4</t>
        </is>
      </c>
      <c r="X11" s="60" t="inlineStr">
        <is>
          <t>20.0</t>
        </is>
      </c>
      <c r="Y11" s="60" t="inlineStr">
        <is>
          <t>4</t>
        </is>
      </c>
      <c r="Z11" s="60" t="inlineStr">
        <is>
          <t>20.0</t>
        </is>
      </c>
      <c r="AA11" s="78" t="inlineStr">
        <is>
          <t>25.0%</t>
        </is>
      </c>
      <c r="AB11" s="78" t="inlineStr">
        <is>
          <t>7.38</t>
        </is>
      </c>
    </row>
    <row r="12" ht="20" customHeight="1">
      <c r="A12" s="30" t="inlineStr">
        <is>
          <t>JUMLAH / GP</t>
        </is>
      </c>
      <c r="C12" s="65" t="n">
        <v>40</v>
      </c>
      <c r="D12" s="65" t="n">
        <v>33</v>
      </c>
      <c r="E12" s="66" t="inlineStr">
        <is>
          <t>-</t>
        </is>
      </c>
      <c r="F12" s="66" t="inlineStr">
        <is>
          <t>-</t>
        </is>
      </c>
      <c r="G12" s="66" t="inlineStr">
        <is>
          <t>-</t>
        </is>
      </c>
      <c r="H12" s="66" t="inlineStr">
        <is>
          <t>-</t>
        </is>
      </c>
      <c r="I12" s="67" t="inlineStr">
        <is>
          <t>5</t>
        </is>
      </c>
      <c r="J12" s="67" t="inlineStr">
        <is>
          <t>12.5</t>
        </is>
      </c>
      <c r="K12" s="68" t="inlineStr">
        <is>
          <t>7</t>
        </is>
      </c>
      <c r="L12" s="68" t="inlineStr">
        <is>
          <t>17.5</t>
        </is>
      </c>
      <c r="M12" s="68" t="inlineStr">
        <is>
          <t>3</t>
        </is>
      </c>
      <c r="N12" s="68" t="inlineStr">
        <is>
          <t>7.5</t>
        </is>
      </c>
      <c r="O12" s="66" t="inlineStr">
        <is>
          <t>-</t>
        </is>
      </c>
      <c r="P12" s="66" t="inlineStr">
        <is>
          <t>-</t>
        </is>
      </c>
      <c r="Q12" s="69" t="inlineStr">
        <is>
          <t>5</t>
        </is>
      </c>
      <c r="R12" s="69" t="inlineStr">
        <is>
          <t>12.5</t>
        </is>
      </c>
      <c r="S12" s="70" t="inlineStr">
        <is>
          <t>5</t>
        </is>
      </c>
      <c r="T12" s="70" t="inlineStr">
        <is>
          <t>12.5</t>
        </is>
      </c>
      <c r="U12" s="70" t="inlineStr">
        <is>
          <t>4</t>
        </is>
      </c>
      <c r="V12" s="70" t="inlineStr">
        <is>
          <t>10.0</t>
        </is>
      </c>
      <c r="W12" s="70" t="inlineStr">
        <is>
          <t>4</t>
        </is>
      </c>
      <c r="X12" s="70" t="inlineStr">
        <is>
          <t>10.0</t>
        </is>
      </c>
      <c r="Y12" s="70" t="inlineStr">
        <is>
          <t>7</t>
        </is>
      </c>
      <c r="Z12" s="70" t="inlineStr">
        <is>
          <t>17.5</t>
        </is>
      </c>
      <c r="AA12" s="68" t="inlineStr">
        <is>
          <t>54.55%</t>
        </is>
      </c>
      <c r="AB12" s="83" t="inlineStr">
        <is>
          <t>5.33</t>
        </is>
      </c>
    </row>
    <row r="14" ht="22" customHeight="1">
      <c r="A14" s="30" t="inlineStr">
        <is>
          <t>STATUS PENCAPAIAN</t>
        </is>
      </c>
      <c r="E14" s="20" t="inlineStr">
        <is>
          <t>⛔ LEMAH   |   GP: 5.33   |   % LULUS: 54.55%</t>
        </is>
      </c>
    </row>
    <row r="16" ht="15" customHeight="1">
      <c r="A16" s="71" t="inlineStr">
        <is>
          <t>🏆 CEMERLANG  GP ≤ 2.0</t>
        </is>
      </c>
      <c r="F16" s="72" t="inlineStr">
        <is>
          <t>✅ BAIK  GP 2.01–3.00</t>
        </is>
      </c>
      <c r="K16" s="73" t="inlineStr">
        <is>
          <t>⚠️ SEDERHANA  GP 3.01–5.00</t>
        </is>
      </c>
      <c r="P16" s="74" t="inlineStr">
        <is>
          <t>⛔ LEMAH  GP 5.01–7.00</t>
        </is>
      </c>
      <c r="U16" s="75" t="inlineStr">
        <is>
          <t>🚨 KRITIKAL  GP &gt; 7.00</t>
        </is>
      </c>
    </row>
    <row r="18">
      <c r="AF18" t="inlineStr">
        <is>
          <t>KELAS</t>
        </is>
      </c>
      <c r="AG18" t="inlineStr">
        <is>
          <t>% LULUS</t>
        </is>
      </c>
      <c r="AH18" t="inlineStr">
        <is>
          <t>GP</t>
        </is>
      </c>
      <c r="AI18" t="inlineStr">
        <is>
          <t>A+</t>
        </is>
      </c>
      <c r="AJ18" t="inlineStr">
        <is>
          <t>A</t>
        </is>
      </c>
      <c r="AK18" t="inlineStr">
        <is>
          <t>A-</t>
        </is>
      </c>
      <c r="AL18" t="inlineStr">
        <is>
          <t>B+</t>
        </is>
      </c>
      <c r="AM18" t="inlineStr">
        <is>
          <t>B</t>
        </is>
      </c>
      <c r="AN18" t="inlineStr">
        <is>
          <t>C+</t>
        </is>
      </c>
      <c r="AO18" t="inlineStr">
        <is>
          <t>C</t>
        </is>
      </c>
      <c r="AP18" t="inlineStr">
        <is>
          <t>D</t>
        </is>
      </c>
      <c r="AQ18" t="inlineStr">
        <is>
          <t>E</t>
        </is>
      </c>
      <c r="AR18" t="inlineStr">
        <is>
          <t>G</t>
        </is>
      </c>
      <c r="AS18" t="inlineStr">
        <is>
          <t>TH</t>
        </is>
      </c>
    </row>
    <row r="19">
      <c r="AF19" t="inlineStr">
        <is>
          <t>5 EKONOMI</t>
        </is>
      </c>
      <c r="AG19" t="n">
        <v>82.40000000000001</v>
      </c>
      <c r="AH19" t="n">
        <v>3.41</v>
      </c>
      <c r="AI19" t="n">
        <v>0</v>
      </c>
      <c r="AJ19" t="n">
        <v>0</v>
      </c>
      <c r="AK19" t="n">
        <v>5</v>
      </c>
      <c r="AL19" t="n">
        <v>6</v>
      </c>
      <c r="AM19" t="n">
        <v>3</v>
      </c>
      <c r="AN19" t="n">
        <v>0</v>
      </c>
      <c r="AO19" t="n">
        <v>3</v>
      </c>
      <c r="AP19" t="n">
        <v>0</v>
      </c>
      <c r="AQ19" t="n">
        <v>0</v>
      </c>
      <c r="AR19" t="n">
        <v>0</v>
      </c>
      <c r="AS19" t="n">
        <v>3</v>
      </c>
    </row>
    <row r="20">
      <c r="AF20" t="inlineStr">
        <is>
          <t>5 SENI</t>
        </is>
      </c>
      <c r="AG20" t="n">
        <v>25</v>
      </c>
      <c r="AH20" t="n">
        <v>7.38</v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  <c r="AN20" t="n">
        <v>0</v>
      </c>
      <c r="AO20" t="n">
        <v>2</v>
      </c>
      <c r="AP20" t="n">
        <v>5</v>
      </c>
      <c r="AQ20" t="n">
        <v>4</v>
      </c>
      <c r="AR20" t="n">
        <v>4</v>
      </c>
      <c r="AS20" t="n">
        <v>4</v>
      </c>
    </row>
  </sheetData>
  <mergeCells count="33">
    <mergeCell ref="A2:AB2"/>
    <mergeCell ref="K16:O16"/>
    <mergeCell ref="Q5:V5"/>
    <mergeCell ref="F16:J16"/>
    <mergeCell ref="B8:B9"/>
    <mergeCell ref="Q8:R8"/>
    <mergeCell ref="K8:P8"/>
    <mergeCell ref="Q6:V6"/>
    <mergeCell ref="A16:E16"/>
    <mergeCell ref="AB8:AB9"/>
    <mergeCell ref="U16:Y16"/>
    <mergeCell ref="L5:P5"/>
    <mergeCell ref="G6:K6"/>
    <mergeCell ref="A12:B12"/>
    <mergeCell ref="A8:A9"/>
    <mergeCell ref="C8:C9"/>
    <mergeCell ref="S8:V8"/>
    <mergeCell ref="P16:T16"/>
    <mergeCell ref="D8:D9"/>
    <mergeCell ref="A1:AB1"/>
    <mergeCell ref="G5:K5"/>
    <mergeCell ref="W8:X8"/>
    <mergeCell ref="B6:F6"/>
    <mergeCell ref="W6:AB6"/>
    <mergeCell ref="AA8:AA9"/>
    <mergeCell ref="L6:P6"/>
    <mergeCell ref="B5:F5"/>
    <mergeCell ref="W5:AB5"/>
    <mergeCell ref="E8:J8"/>
    <mergeCell ref="Y8:Z8"/>
    <mergeCell ref="A3:AB3"/>
    <mergeCell ref="E14:AB14"/>
    <mergeCell ref="A14:D14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S20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8" customWidth="1" min="3" max="3"/>
    <col width="8" customWidth="1" min="4" max="4"/>
    <col width="5" customWidth="1" min="5" max="5"/>
    <col width="6" customWidth="1" min="6" max="6"/>
    <col width="5" customWidth="1" min="7" max="7"/>
    <col width="6" customWidth="1" min="8" max="8"/>
    <col width="5" customWidth="1" min="9" max="9"/>
    <col width="6" customWidth="1" min="10" max="10"/>
    <col width="5" customWidth="1" min="11" max="11"/>
    <col width="6" customWidth="1" min="12" max="12"/>
    <col width="5" customWidth="1" min="13" max="13"/>
    <col width="6" customWidth="1" min="14" max="14"/>
    <col width="5" customWidth="1" min="15" max="15"/>
    <col width="6" customWidth="1" min="16" max="16"/>
    <col width="5" customWidth="1" min="17" max="17"/>
    <col width="6" customWidth="1" min="18" max="18"/>
    <col width="5" customWidth="1" min="19" max="19"/>
    <col width="6" customWidth="1" min="20" max="20"/>
    <col width="5" customWidth="1" min="21" max="21"/>
    <col width="6" customWidth="1" min="22" max="22"/>
    <col width="5" customWidth="1" min="23" max="23"/>
    <col width="6" customWidth="1" min="24" max="24"/>
    <col width="5" customWidth="1" min="25" max="25"/>
    <col width="6" customWidth="1" min="26" max="26"/>
    <col width="10" customWidth="1" min="27" max="27"/>
    <col width="8" customWidth="1" min="28" max="28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</cols>
  <sheetData>
    <row r="1" ht="28" customHeight="1">
      <c r="A1" s="23" t="inlineStr">
        <is>
          <t>SEKOLAH MENENGAH KEBANGSAAN KELANA JAYA</t>
        </is>
      </c>
    </row>
    <row r="2" ht="20" customHeight="1">
      <c r="A2" s="24" t="inlineStr">
        <is>
          <t>ANALISIS PEPERIKSAAN PERTENGAHAN TAHUN 2026 — TINGKATAN 5</t>
        </is>
      </c>
    </row>
    <row r="3" ht="24" customHeight="1">
      <c r="A3" s="25" t="inlineStr">
        <is>
          <t>3766  PERNIAGAAN</t>
        </is>
      </c>
    </row>
    <row r="5" ht="16" customHeight="1">
      <c r="B5" s="26" t="inlineStr">
        <is>
          <t>JLH DAFTAR</t>
        </is>
      </c>
      <c r="G5" s="26" t="inlineStr">
        <is>
          <t>JLH HADIR</t>
        </is>
      </c>
      <c r="L5" s="26" t="inlineStr">
        <is>
          <t>% LULUS</t>
        </is>
      </c>
      <c r="Q5" s="26" t="inlineStr">
        <is>
          <t>GRED PURATA (GP)</t>
        </is>
      </c>
      <c r="W5" s="26" t="inlineStr">
        <is>
          <t>STATUS</t>
        </is>
      </c>
    </row>
    <row r="6" ht="22" customHeight="1">
      <c r="B6" s="27" t="n">
        <v>29</v>
      </c>
      <c r="G6" s="27" t="n">
        <v>26</v>
      </c>
      <c r="L6" s="77" t="inlineStr">
        <is>
          <t>38.46%</t>
        </is>
      </c>
      <c r="Q6" s="79" t="inlineStr">
        <is>
          <t>6.77</t>
        </is>
      </c>
      <c r="W6" s="79" t="inlineStr">
        <is>
          <t>⛔ LEMAH</t>
        </is>
      </c>
    </row>
    <row r="8" ht="18" customHeight="1">
      <c r="A8" s="30" t="inlineStr">
        <is>
          <t>BIL</t>
        </is>
      </c>
      <c r="B8" s="30" t="inlineStr">
        <is>
          <t>KELAS</t>
        </is>
      </c>
      <c r="C8" s="30" t="inlineStr">
        <is>
          <t>DAFTAR</t>
        </is>
      </c>
      <c r="D8" s="30" t="inlineStr">
        <is>
          <t>HADIR</t>
        </is>
      </c>
      <c r="E8" s="31" t="inlineStr">
        <is>
          <t>CEMERLANG</t>
        </is>
      </c>
      <c r="K8" s="32" t="inlineStr">
        <is>
          <t>SEDERHANA</t>
        </is>
      </c>
      <c r="Q8" s="33" t="inlineStr">
        <is>
          <t>LULUS</t>
        </is>
      </c>
      <c r="S8" s="34" t="inlineStr">
        <is>
          <t>GAGAL</t>
        </is>
      </c>
      <c r="W8" s="35" t="inlineStr">
        <is>
          <t>GAGAL (G)</t>
        </is>
      </c>
      <c r="Y8" s="36" t="inlineStr">
        <is>
          <t>TH</t>
        </is>
      </c>
      <c r="AA8" s="37" t="inlineStr">
        <is>
          <t>% LULUS</t>
        </is>
      </c>
      <c r="AB8" s="30" t="inlineStr">
        <is>
          <t>GP</t>
        </is>
      </c>
    </row>
    <row r="9" ht="15" customHeight="1">
      <c r="E9" s="38" t="inlineStr">
        <is>
          <t>A+</t>
        </is>
      </c>
      <c r="F9" s="38" t="inlineStr">
        <is>
          <t>%</t>
        </is>
      </c>
      <c r="G9" s="38" t="inlineStr">
        <is>
          <t>A</t>
        </is>
      </c>
      <c r="H9" s="38" t="inlineStr">
        <is>
          <t>%</t>
        </is>
      </c>
      <c r="I9" s="38" t="inlineStr">
        <is>
          <t>A-</t>
        </is>
      </c>
      <c r="J9" s="38" t="inlineStr">
        <is>
          <t>%</t>
        </is>
      </c>
      <c r="K9" s="39" t="inlineStr">
        <is>
          <t>B+</t>
        </is>
      </c>
      <c r="L9" s="39" t="inlineStr">
        <is>
          <t>%</t>
        </is>
      </c>
      <c r="M9" s="39" t="inlineStr">
        <is>
          <t>B</t>
        </is>
      </c>
      <c r="N9" s="39" t="inlineStr">
        <is>
          <t>%</t>
        </is>
      </c>
      <c r="O9" s="39" t="inlineStr">
        <is>
          <t>C+</t>
        </is>
      </c>
      <c r="P9" s="39" t="inlineStr">
        <is>
          <t>%</t>
        </is>
      </c>
      <c r="Q9" s="40" t="inlineStr">
        <is>
          <t>C</t>
        </is>
      </c>
      <c r="R9" s="40" t="inlineStr">
        <is>
          <t>%</t>
        </is>
      </c>
      <c r="S9" s="41" t="inlineStr">
        <is>
          <t>D</t>
        </is>
      </c>
      <c r="T9" s="41" t="inlineStr">
        <is>
          <t>%</t>
        </is>
      </c>
      <c r="U9" s="41" t="inlineStr">
        <is>
          <t>E</t>
        </is>
      </c>
      <c r="V9" s="41" t="inlineStr">
        <is>
          <t>%</t>
        </is>
      </c>
      <c r="W9" s="42" t="inlineStr">
        <is>
          <t>G</t>
        </is>
      </c>
      <c r="X9" s="42" t="inlineStr">
        <is>
          <t>%</t>
        </is>
      </c>
      <c r="Y9" s="43" t="inlineStr">
        <is>
          <t>TH</t>
        </is>
      </c>
      <c r="Z9" s="43" t="inlineStr">
        <is>
          <t>%</t>
        </is>
      </c>
    </row>
    <row r="10" ht="18" customHeight="1">
      <c r="A10" s="44" t="n">
        <v>1</v>
      </c>
      <c r="B10" s="45" t="inlineStr">
        <is>
          <t>5 EKONOMI</t>
        </is>
      </c>
      <c r="C10" s="46" t="n">
        <v>20</v>
      </c>
      <c r="D10" s="46" t="n">
        <v>17</v>
      </c>
      <c r="E10" s="47" t="inlineStr">
        <is>
          <t>-</t>
        </is>
      </c>
      <c r="F10" s="47" t="inlineStr">
        <is>
          <t>-</t>
        </is>
      </c>
      <c r="G10" s="47" t="inlineStr">
        <is>
          <t>-</t>
        </is>
      </c>
      <c r="H10" s="47" t="inlineStr">
        <is>
          <t>-</t>
        </is>
      </c>
      <c r="I10" s="48" t="inlineStr">
        <is>
          <t>1</t>
        </is>
      </c>
      <c r="J10" s="48" t="inlineStr">
        <is>
          <t>5.0</t>
        </is>
      </c>
      <c r="K10" s="49" t="inlineStr">
        <is>
          <t>1</t>
        </is>
      </c>
      <c r="L10" s="49" t="inlineStr">
        <is>
          <t>5.0</t>
        </is>
      </c>
      <c r="M10" s="49" t="inlineStr">
        <is>
          <t>2</t>
        </is>
      </c>
      <c r="N10" s="49" t="inlineStr">
        <is>
          <t>10.0</t>
        </is>
      </c>
      <c r="O10" s="47" t="inlineStr">
        <is>
          <t>-</t>
        </is>
      </c>
      <c r="P10" s="47" t="inlineStr">
        <is>
          <t>-</t>
        </is>
      </c>
      <c r="Q10" s="63" t="inlineStr">
        <is>
          <t>2</t>
        </is>
      </c>
      <c r="R10" s="63" t="inlineStr">
        <is>
          <t>10.0</t>
        </is>
      </c>
      <c r="S10" s="50" t="inlineStr">
        <is>
          <t>2</t>
        </is>
      </c>
      <c r="T10" s="50" t="inlineStr">
        <is>
          <t>10.0</t>
        </is>
      </c>
      <c r="U10" s="50" t="inlineStr">
        <is>
          <t>1</t>
        </is>
      </c>
      <c r="V10" s="50" t="inlineStr">
        <is>
          <t>5.0</t>
        </is>
      </c>
      <c r="W10" s="50" t="inlineStr">
        <is>
          <t>8</t>
        </is>
      </c>
      <c r="X10" s="50" t="inlineStr">
        <is>
          <t>40.0</t>
        </is>
      </c>
      <c r="Y10" s="50" t="inlineStr">
        <is>
          <t>3</t>
        </is>
      </c>
      <c r="Z10" s="50" t="inlineStr">
        <is>
          <t>15.0</t>
        </is>
      </c>
      <c r="AA10" s="64" t="inlineStr">
        <is>
          <t>29.4%</t>
        </is>
      </c>
      <c r="AB10" s="76" t="inlineStr">
        <is>
          <t>7.00</t>
        </is>
      </c>
    </row>
    <row r="11" ht="18" customHeight="1">
      <c r="A11" s="53" t="n">
        <v>2</v>
      </c>
      <c r="B11" s="54" t="inlineStr">
        <is>
          <t>5 SAINS GUNAAN</t>
        </is>
      </c>
      <c r="C11" s="55" t="n">
        <v>9</v>
      </c>
      <c r="D11" s="55" t="n">
        <v>9</v>
      </c>
      <c r="E11" s="56" t="inlineStr">
        <is>
          <t>-</t>
        </is>
      </c>
      <c r="F11" s="56" t="inlineStr">
        <is>
          <t>-</t>
        </is>
      </c>
      <c r="G11" s="56" t="inlineStr">
        <is>
          <t>-</t>
        </is>
      </c>
      <c r="H11" s="56" t="inlineStr">
        <is>
          <t>-</t>
        </is>
      </c>
      <c r="I11" s="56" t="inlineStr">
        <is>
          <t>-</t>
        </is>
      </c>
      <c r="J11" s="56" t="inlineStr">
        <is>
          <t>-</t>
        </is>
      </c>
      <c r="K11" s="58" t="inlineStr">
        <is>
          <t>1</t>
        </is>
      </c>
      <c r="L11" s="58" t="inlineStr">
        <is>
          <t>11.1</t>
        </is>
      </c>
      <c r="M11" s="58" t="inlineStr">
        <is>
          <t>1</t>
        </is>
      </c>
      <c r="N11" s="58" t="inlineStr">
        <is>
          <t>11.1</t>
        </is>
      </c>
      <c r="O11" s="58" t="inlineStr">
        <is>
          <t>2</t>
        </is>
      </c>
      <c r="P11" s="58" t="inlineStr">
        <is>
          <t>22.2</t>
        </is>
      </c>
      <c r="Q11" s="59" t="inlineStr">
        <is>
          <t>1</t>
        </is>
      </c>
      <c r="R11" s="59" t="inlineStr">
        <is>
          <t>11.1</t>
        </is>
      </c>
      <c r="S11" s="56" t="inlineStr">
        <is>
          <t>-</t>
        </is>
      </c>
      <c r="T11" s="56" t="inlineStr">
        <is>
          <t>-</t>
        </is>
      </c>
      <c r="U11" s="60" t="inlineStr">
        <is>
          <t>2</t>
        </is>
      </c>
      <c r="V11" s="60" t="inlineStr">
        <is>
          <t>22.2</t>
        </is>
      </c>
      <c r="W11" s="60" t="inlineStr">
        <is>
          <t>2</t>
        </is>
      </c>
      <c r="X11" s="60" t="inlineStr">
        <is>
          <t>22.2</t>
        </is>
      </c>
      <c r="Y11" s="56" t="inlineStr">
        <is>
          <t>-</t>
        </is>
      </c>
      <c r="Z11" s="56" t="inlineStr">
        <is>
          <t>-</t>
        </is>
      </c>
      <c r="AA11" s="62" t="inlineStr">
        <is>
          <t>55.6%</t>
        </is>
      </c>
      <c r="AB11" s="82" t="inlineStr">
        <is>
          <t>6.33</t>
        </is>
      </c>
    </row>
    <row r="12" ht="20" customHeight="1">
      <c r="A12" s="30" t="inlineStr">
        <is>
          <t>JUMLAH / GP</t>
        </is>
      </c>
      <c r="C12" s="65" t="n">
        <v>29</v>
      </c>
      <c r="D12" s="65" t="n">
        <v>26</v>
      </c>
      <c r="E12" s="66" t="inlineStr">
        <is>
          <t>-</t>
        </is>
      </c>
      <c r="F12" s="66" t="inlineStr">
        <is>
          <t>-</t>
        </is>
      </c>
      <c r="G12" s="66" t="inlineStr">
        <is>
          <t>-</t>
        </is>
      </c>
      <c r="H12" s="66" t="inlineStr">
        <is>
          <t>-</t>
        </is>
      </c>
      <c r="I12" s="67" t="inlineStr">
        <is>
          <t>1</t>
        </is>
      </c>
      <c r="J12" s="67" t="inlineStr">
        <is>
          <t>3.4</t>
        </is>
      </c>
      <c r="K12" s="68" t="inlineStr">
        <is>
          <t>2</t>
        </is>
      </c>
      <c r="L12" s="68" t="inlineStr">
        <is>
          <t>6.9</t>
        </is>
      </c>
      <c r="M12" s="68" t="inlineStr">
        <is>
          <t>3</t>
        </is>
      </c>
      <c r="N12" s="68" t="inlineStr">
        <is>
          <t>10.3</t>
        </is>
      </c>
      <c r="O12" s="68" t="inlineStr">
        <is>
          <t>2</t>
        </is>
      </c>
      <c r="P12" s="68" t="inlineStr">
        <is>
          <t>6.9</t>
        </is>
      </c>
      <c r="Q12" s="69" t="inlineStr">
        <is>
          <t>3</t>
        </is>
      </c>
      <c r="R12" s="69" t="inlineStr">
        <is>
          <t>10.3</t>
        </is>
      </c>
      <c r="S12" s="70" t="inlineStr">
        <is>
          <t>2</t>
        </is>
      </c>
      <c r="T12" s="70" t="inlineStr">
        <is>
          <t>6.9</t>
        </is>
      </c>
      <c r="U12" s="70" t="inlineStr">
        <is>
          <t>3</t>
        </is>
      </c>
      <c r="V12" s="70" t="inlineStr">
        <is>
          <t>10.3</t>
        </is>
      </c>
      <c r="W12" s="70" t="inlineStr">
        <is>
          <t>10</t>
        </is>
      </c>
      <c r="X12" s="70" t="inlineStr">
        <is>
          <t>34.5</t>
        </is>
      </c>
      <c r="Y12" s="70" t="inlineStr">
        <is>
          <t>3</t>
        </is>
      </c>
      <c r="Z12" s="70" t="inlineStr">
        <is>
          <t>10.3</t>
        </is>
      </c>
      <c r="AA12" s="70" t="inlineStr">
        <is>
          <t>38.46%</t>
        </is>
      </c>
      <c r="AB12" s="83" t="inlineStr">
        <is>
          <t>6.77</t>
        </is>
      </c>
    </row>
    <row r="14" ht="22" customHeight="1">
      <c r="A14" s="30" t="inlineStr">
        <is>
          <t>STATUS PENCAPAIAN</t>
        </is>
      </c>
      <c r="E14" s="20" t="inlineStr">
        <is>
          <t>⛔ LEMAH   |   GP: 6.77   |   % LULUS: 38.46%</t>
        </is>
      </c>
    </row>
    <row r="16" ht="15" customHeight="1">
      <c r="A16" s="71" t="inlineStr">
        <is>
          <t>🏆 CEMERLANG  GP ≤ 2.0</t>
        </is>
      </c>
      <c r="F16" s="72" t="inlineStr">
        <is>
          <t>✅ BAIK  GP 2.01–3.00</t>
        </is>
      </c>
      <c r="K16" s="73" t="inlineStr">
        <is>
          <t>⚠️ SEDERHANA  GP 3.01–5.00</t>
        </is>
      </c>
      <c r="P16" s="74" t="inlineStr">
        <is>
          <t>⛔ LEMAH  GP 5.01–7.00</t>
        </is>
      </c>
      <c r="U16" s="75" t="inlineStr">
        <is>
          <t>🚨 KRITIKAL  GP &gt; 7.00</t>
        </is>
      </c>
    </row>
    <row r="18">
      <c r="AF18" t="inlineStr">
        <is>
          <t>KELAS</t>
        </is>
      </c>
      <c r="AG18" t="inlineStr">
        <is>
          <t>% LULUS</t>
        </is>
      </c>
      <c r="AH18" t="inlineStr">
        <is>
          <t>GP</t>
        </is>
      </c>
      <c r="AI18" t="inlineStr">
        <is>
          <t>A+</t>
        </is>
      </c>
      <c r="AJ18" t="inlineStr">
        <is>
          <t>A</t>
        </is>
      </c>
      <c r="AK18" t="inlineStr">
        <is>
          <t>A-</t>
        </is>
      </c>
      <c r="AL18" t="inlineStr">
        <is>
          <t>B+</t>
        </is>
      </c>
      <c r="AM18" t="inlineStr">
        <is>
          <t>B</t>
        </is>
      </c>
      <c r="AN18" t="inlineStr">
        <is>
          <t>C+</t>
        </is>
      </c>
      <c r="AO18" t="inlineStr">
        <is>
          <t>C</t>
        </is>
      </c>
      <c r="AP18" t="inlineStr">
        <is>
          <t>D</t>
        </is>
      </c>
      <c r="AQ18" t="inlineStr">
        <is>
          <t>E</t>
        </is>
      </c>
      <c r="AR18" t="inlineStr">
        <is>
          <t>G</t>
        </is>
      </c>
      <c r="AS18" t="inlineStr">
        <is>
          <t>TH</t>
        </is>
      </c>
    </row>
    <row r="19">
      <c r="AF19" t="inlineStr">
        <is>
          <t>5 EKONOMI</t>
        </is>
      </c>
      <c r="AG19" t="n">
        <v>29.4</v>
      </c>
      <c r="AH19" t="n">
        <v>7</v>
      </c>
      <c r="AI19" t="n">
        <v>0</v>
      </c>
      <c r="AJ19" t="n">
        <v>0</v>
      </c>
      <c r="AK19" t="n">
        <v>1</v>
      </c>
      <c r="AL19" t="n">
        <v>1</v>
      </c>
      <c r="AM19" t="n">
        <v>2</v>
      </c>
      <c r="AN19" t="n">
        <v>0</v>
      </c>
      <c r="AO19" t="n">
        <v>2</v>
      </c>
      <c r="AP19" t="n">
        <v>2</v>
      </c>
      <c r="AQ19" t="n">
        <v>1</v>
      </c>
      <c r="AR19" t="n">
        <v>8</v>
      </c>
      <c r="AS19" t="n">
        <v>3</v>
      </c>
    </row>
    <row r="20">
      <c r="AF20" t="inlineStr">
        <is>
          <t>5 SAINS GUNAAN</t>
        </is>
      </c>
      <c r="AG20" t="n">
        <v>55.6</v>
      </c>
      <c r="AH20" t="n">
        <v>6.33</v>
      </c>
      <c r="AI20" t="n">
        <v>0</v>
      </c>
      <c r="AJ20" t="n">
        <v>0</v>
      </c>
      <c r="AK20" t="n">
        <v>0</v>
      </c>
      <c r="AL20" t="n">
        <v>1</v>
      </c>
      <c r="AM20" t="n">
        <v>1</v>
      </c>
      <c r="AN20" t="n">
        <v>2</v>
      </c>
      <c r="AO20" t="n">
        <v>1</v>
      </c>
      <c r="AP20" t="n">
        <v>0</v>
      </c>
      <c r="AQ20" t="n">
        <v>2</v>
      </c>
      <c r="AR20" t="n">
        <v>2</v>
      </c>
      <c r="AS20" t="n">
        <v>0</v>
      </c>
    </row>
  </sheetData>
  <mergeCells count="33">
    <mergeCell ref="A2:AB2"/>
    <mergeCell ref="K16:O16"/>
    <mergeCell ref="Q5:V5"/>
    <mergeCell ref="F16:J16"/>
    <mergeCell ref="B8:B9"/>
    <mergeCell ref="Q8:R8"/>
    <mergeCell ref="K8:P8"/>
    <mergeCell ref="Q6:V6"/>
    <mergeCell ref="A16:E16"/>
    <mergeCell ref="AB8:AB9"/>
    <mergeCell ref="U16:Y16"/>
    <mergeCell ref="L5:P5"/>
    <mergeCell ref="G6:K6"/>
    <mergeCell ref="A12:B12"/>
    <mergeCell ref="A8:A9"/>
    <mergeCell ref="C8:C9"/>
    <mergeCell ref="S8:V8"/>
    <mergeCell ref="P16:T16"/>
    <mergeCell ref="D8:D9"/>
    <mergeCell ref="A1:AB1"/>
    <mergeCell ref="G5:K5"/>
    <mergeCell ref="W8:X8"/>
    <mergeCell ref="B6:F6"/>
    <mergeCell ref="W6:AB6"/>
    <mergeCell ref="AA8:AA9"/>
    <mergeCell ref="L6:P6"/>
    <mergeCell ref="B5:F5"/>
    <mergeCell ref="W5:AB5"/>
    <mergeCell ref="E8:J8"/>
    <mergeCell ref="Y8:Z8"/>
    <mergeCell ref="A3:AB3"/>
    <mergeCell ref="E14:AB14"/>
    <mergeCell ref="A14:D14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S18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8" customWidth="1" min="3" max="3"/>
    <col width="8" customWidth="1" min="4" max="4"/>
    <col width="5" customWidth="1" min="5" max="5"/>
    <col width="6" customWidth="1" min="6" max="6"/>
    <col width="5" customWidth="1" min="7" max="7"/>
    <col width="6" customWidth="1" min="8" max="8"/>
    <col width="5" customWidth="1" min="9" max="9"/>
    <col width="6" customWidth="1" min="10" max="10"/>
    <col width="5" customWidth="1" min="11" max="11"/>
    <col width="6" customWidth="1" min="12" max="12"/>
    <col width="5" customWidth="1" min="13" max="13"/>
    <col width="6" customWidth="1" min="14" max="14"/>
    <col width="5" customWidth="1" min="15" max="15"/>
    <col width="6" customWidth="1" min="16" max="16"/>
    <col width="5" customWidth="1" min="17" max="17"/>
    <col width="6" customWidth="1" min="18" max="18"/>
    <col width="5" customWidth="1" min="19" max="19"/>
    <col width="6" customWidth="1" min="20" max="20"/>
    <col width="5" customWidth="1" min="21" max="21"/>
    <col width="6" customWidth="1" min="22" max="22"/>
    <col width="5" customWidth="1" min="23" max="23"/>
    <col width="6" customWidth="1" min="24" max="24"/>
    <col width="5" customWidth="1" min="25" max="25"/>
    <col width="6" customWidth="1" min="26" max="26"/>
    <col width="10" customWidth="1" min="27" max="27"/>
    <col width="8" customWidth="1" min="28" max="28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</cols>
  <sheetData>
    <row r="1" ht="28" customHeight="1">
      <c r="A1" s="23" t="inlineStr">
        <is>
          <t>SEKOLAH MENENGAH KEBANGSAAN KELANA JAYA</t>
        </is>
      </c>
    </row>
    <row r="2" ht="20" customHeight="1">
      <c r="A2" s="24" t="inlineStr">
        <is>
          <t>ANALISIS PEPERIKSAAN PERTENGAHAN TAHUN 2026 — TINGKATAN 5</t>
        </is>
      </c>
    </row>
    <row r="3" ht="24" customHeight="1">
      <c r="A3" s="25" t="inlineStr">
        <is>
          <t>3756  PRINSIP PERAKAUNAN</t>
        </is>
      </c>
    </row>
    <row r="5" ht="16" customHeight="1">
      <c r="B5" s="26" t="inlineStr">
        <is>
          <t>JLH DAFTAR</t>
        </is>
      </c>
      <c r="G5" s="26" t="inlineStr">
        <is>
          <t>JLH HADIR</t>
        </is>
      </c>
      <c r="L5" s="26" t="inlineStr">
        <is>
          <t>% LULUS</t>
        </is>
      </c>
      <c r="Q5" s="26" t="inlineStr">
        <is>
          <t>GRED PURATA (GP)</t>
        </is>
      </c>
      <c r="W5" s="26" t="inlineStr">
        <is>
          <t>STATUS</t>
        </is>
      </c>
    </row>
    <row r="6" ht="22" customHeight="1">
      <c r="B6" s="27" t="n">
        <v>24</v>
      </c>
      <c r="G6" s="27" t="n">
        <v>23</v>
      </c>
      <c r="L6" s="77" t="inlineStr">
        <is>
          <t>8.70%</t>
        </is>
      </c>
      <c r="Q6" s="77" t="inlineStr">
        <is>
          <t>8.61</t>
        </is>
      </c>
      <c r="W6" s="77" t="inlineStr">
        <is>
          <t>🚨 KRITIKAL</t>
        </is>
      </c>
    </row>
    <row r="8" ht="18" customHeight="1">
      <c r="A8" s="30" t="inlineStr">
        <is>
          <t>BIL</t>
        </is>
      </c>
      <c r="B8" s="30" t="inlineStr">
        <is>
          <t>KELAS</t>
        </is>
      </c>
      <c r="C8" s="30" t="inlineStr">
        <is>
          <t>DAFTAR</t>
        </is>
      </c>
      <c r="D8" s="30" t="inlineStr">
        <is>
          <t>HADIR</t>
        </is>
      </c>
      <c r="E8" s="31" t="inlineStr">
        <is>
          <t>CEMERLANG</t>
        </is>
      </c>
      <c r="K8" s="32" t="inlineStr">
        <is>
          <t>SEDERHANA</t>
        </is>
      </c>
      <c r="Q8" s="33" t="inlineStr">
        <is>
          <t>LULUS</t>
        </is>
      </c>
      <c r="S8" s="34" t="inlineStr">
        <is>
          <t>GAGAL</t>
        </is>
      </c>
      <c r="W8" s="35" t="inlineStr">
        <is>
          <t>GAGAL (G)</t>
        </is>
      </c>
      <c r="Y8" s="36" t="inlineStr">
        <is>
          <t>TH</t>
        </is>
      </c>
      <c r="AA8" s="37" t="inlineStr">
        <is>
          <t>% LULUS</t>
        </is>
      </c>
      <c r="AB8" s="30" t="inlineStr">
        <is>
          <t>GP</t>
        </is>
      </c>
    </row>
    <row r="9" ht="15" customHeight="1">
      <c r="E9" s="38" t="inlineStr">
        <is>
          <t>A+</t>
        </is>
      </c>
      <c r="F9" s="38" t="inlineStr">
        <is>
          <t>%</t>
        </is>
      </c>
      <c r="G9" s="38" t="inlineStr">
        <is>
          <t>A</t>
        </is>
      </c>
      <c r="H9" s="38" t="inlineStr">
        <is>
          <t>%</t>
        </is>
      </c>
      <c r="I9" s="38" t="inlineStr">
        <is>
          <t>A-</t>
        </is>
      </c>
      <c r="J9" s="38" t="inlineStr">
        <is>
          <t>%</t>
        </is>
      </c>
      <c r="K9" s="39" t="inlineStr">
        <is>
          <t>B+</t>
        </is>
      </c>
      <c r="L9" s="39" t="inlineStr">
        <is>
          <t>%</t>
        </is>
      </c>
      <c r="M9" s="39" t="inlineStr">
        <is>
          <t>B</t>
        </is>
      </c>
      <c r="N9" s="39" t="inlineStr">
        <is>
          <t>%</t>
        </is>
      </c>
      <c r="O9" s="39" t="inlineStr">
        <is>
          <t>C+</t>
        </is>
      </c>
      <c r="P9" s="39" t="inlineStr">
        <is>
          <t>%</t>
        </is>
      </c>
      <c r="Q9" s="40" t="inlineStr">
        <is>
          <t>C</t>
        </is>
      </c>
      <c r="R9" s="40" t="inlineStr">
        <is>
          <t>%</t>
        </is>
      </c>
      <c r="S9" s="41" t="inlineStr">
        <is>
          <t>D</t>
        </is>
      </c>
      <c r="T9" s="41" t="inlineStr">
        <is>
          <t>%</t>
        </is>
      </c>
      <c r="U9" s="41" t="inlineStr">
        <is>
          <t>E</t>
        </is>
      </c>
      <c r="V9" s="41" t="inlineStr">
        <is>
          <t>%</t>
        </is>
      </c>
      <c r="W9" s="42" t="inlineStr">
        <is>
          <t>G</t>
        </is>
      </c>
      <c r="X9" s="42" t="inlineStr">
        <is>
          <t>%</t>
        </is>
      </c>
      <c r="Y9" s="43" t="inlineStr">
        <is>
          <t>TH</t>
        </is>
      </c>
      <c r="Z9" s="43" t="inlineStr">
        <is>
          <t>%</t>
        </is>
      </c>
    </row>
    <row r="10" ht="18" customHeight="1">
      <c r="A10" s="44" t="n">
        <v>1</v>
      </c>
      <c r="B10" s="45" t="inlineStr">
        <is>
          <t>5 AKAUN</t>
        </is>
      </c>
      <c r="C10" s="46" t="n">
        <v>24</v>
      </c>
      <c r="D10" s="46" t="n">
        <v>23</v>
      </c>
      <c r="E10" s="47" t="inlineStr">
        <is>
          <t>-</t>
        </is>
      </c>
      <c r="F10" s="47" t="inlineStr">
        <is>
          <t>-</t>
        </is>
      </c>
      <c r="G10" s="47" t="inlineStr">
        <is>
          <t>-</t>
        </is>
      </c>
      <c r="H10" s="47" t="inlineStr">
        <is>
          <t>-</t>
        </is>
      </c>
      <c r="I10" s="47" t="inlineStr">
        <is>
          <t>-</t>
        </is>
      </c>
      <c r="J10" s="47" t="inlineStr">
        <is>
          <t>-</t>
        </is>
      </c>
      <c r="K10" s="47" t="inlineStr">
        <is>
          <t>-</t>
        </is>
      </c>
      <c r="L10" s="47" t="inlineStr">
        <is>
          <t>-</t>
        </is>
      </c>
      <c r="M10" s="47" t="inlineStr">
        <is>
          <t>-</t>
        </is>
      </c>
      <c r="N10" s="47" t="inlineStr">
        <is>
          <t>-</t>
        </is>
      </c>
      <c r="O10" s="49" t="inlineStr">
        <is>
          <t>1</t>
        </is>
      </c>
      <c r="P10" s="49" t="inlineStr">
        <is>
          <t>4.2</t>
        </is>
      </c>
      <c r="Q10" s="47" t="inlineStr">
        <is>
          <t>-</t>
        </is>
      </c>
      <c r="R10" s="47" t="inlineStr">
        <is>
          <t>-</t>
        </is>
      </c>
      <c r="S10" s="50" t="inlineStr">
        <is>
          <t>2</t>
        </is>
      </c>
      <c r="T10" s="50" t="inlineStr">
        <is>
          <t>8.3</t>
        </is>
      </c>
      <c r="U10" s="50" t="inlineStr">
        <is>
          <t>1</t>
        </is>
      </c>
      <c r="V10" s="50" t="inlineStr">
        <is>
          <t>4.2</t>
        </is>
      </c>
      <c r="W10" s="50" t="inlineStr">
        <is>
          <t>19</t>
        </is>
      </c>
      <c r="X10" s="50" t="inlineStr">
        <is>
          <t>79.2</t>
        </is>
      </c>
      <c r="Y10" s="50" t="inlineStr">
        <is>
          <t>1</t>
        </is>
      </c>
      <c r="Z10" s="50" t="inlineStr">
        <is>
          <t>4.2</t>
        </is>
      </c>
      <c r="AA10" s="64" t="inlineStr">
        <is>
          <t>8.7%</t>
        </is>
      </c>
      <c r="AB10" s="64" t="inlineStr">
        <is>
          <t>8.61</t>
        </is>
      </c>
    </row>
    <row r="11" ht="20" customHeight="1">
      <c r="A11" s="30" t="inlineStr">
        <is>
          <t>JUMLAH / GP</t>
        </is>
      </c>
      <c r="C11" s="65" t="n">
        <v>24</v>
      </c>
      <c r="D11" s="65" t="n">
        <v>23</v>
      </c>
      <c r="E11" s="66" t="inlineStr">
        <is>
          <t>-</t>
        </is>
      </c>
      <c r="F11" s="66" t="inlineStr">
        <is>
          <t>-</t>
        </is>
      </c>
      <c r="G11" s="66" t="inlineStr">
        <is>
          <t>-</t>
        </is>
      </c>
      <c r="H11" s="66" t="inlineStr">
        <is>
          <t>-</t>
        </is>
      </c>
      <c r="I11" s="66" t="inlineStr">
        <is>
          <t>-</t>
        </is>
      </c>
      <c r="J11" s="66" t="inlineStr">
        <is>
          <t>-</t>
        </is>
      </c>
      <c r="K11" s="66" t="inlineStr">
        <is>
          <t>-</t>
        </is>
      </c>
      <c r="L11" s="66" t="inlineStr">
        <is>
          <t>-</t>
        </is>
      </c>
      <c r="M11" s="66" t="inlineStr">
        <is>
          <t>-</t>
        </is>
      </c>
      <c r="N11" s="66" t="inlineStr">
        <is>
          <t>-</t>
        </is>
      </c>
      <c r="O11" s="68" t="inlineStr">
        <is>
          <t>1</t>
        </is>
      </c>
      <c r="P11" s="68" t="inlineStr">
        <is>
          <t>4.2</t>
        </is>
      </c>
      <c r="Q11" s="66" t="inlineStr">
        <is>
          <t>-</t>
        </is>
      </c>
      <c r="R11" s="66" t="inlineStr">
        <is>
          <t>-</t>
        </is>
      </c>
      <c r="S11" s="70" t="inlineStr">
        <is>
          <t>2</t>
        </is>
      </c>
      <c r="T11" s="70" t="inlineStr">
        <is>
          <t>8.3</t>
        </is>
      </c>
      <c r="U11" s="70" t="inlineStr">
        <is>
          <t>1</t>
        </is>
      </c>
      <c r="V11" s="70" t="inlineStr">
        <is>
          <t>4.2</t>
        </is>
      </c>
      <c r="W11" s="70" t="inlineStr">
        <is>
          <t>19</t>
        </is>
      </c>
      <c r="X11" s="70" t="inlineStr">
        <is>
          <t>79.2</t>
        </is>
      </c>
      <c r="Y11" s="70" t="inlineStr">
        <is>
          <t>1</t>
        </is>
      </c>
      <c r="Z11" s="70" t="inlineStr">
        <is>
          <t>4.2</t>
        </is>
      </c>
      <c r="AA11" s="70" t="inlineStr">
        <is>
          <t>8.70%</t>
        </is>
      </c>
      <c r="AB11" s="70" t="inlineStr">
        <is>
          <t>8.61</t>
        </is>
      </c>
    </row>
    <row r="13" ht="22" customHeight="1">
      <c r="A13" s="30" t="inlineStr">
        <is>
          <t>STATUS PENCAPAIAN</t>
        </is>
      </c>
      <c r="E13" s="17" t="inlineStr">
        <is>
          <t>🚨 KRITIKAL   |   GP: 8.61   |   % LULUS: 8.70%</t>
        </is>
      </c>
    </row>
    <row r="15" ht="15" customHeight="1">
      <c r="A15" s="71" t="inlineStr">
        <is>
          <t>🏆 CEMERLANG  GP ≤ 2.0</t>
        </is>
      </c>
      <c r="F15" s="72" t="inlineStr">
        <is>
          <t>✅ BAIK  GP 2.01–3.00</t>
        </is>
      </c>
      <c r="K15" s="73" t="inlineStr">
        <is>
          <t>⚠️ SEDERHANA  GP 3.01–5.00</t>
        </is>
      </c>
      <c r="P15" s="74" t="inlineStr">
        <is>
          <t>⛔ LEMAH  GP 5.01–7.00</t>
        </is>
      </c>
      <c r="U15" s="75" t="inlineStr">
        <is>
          <t>🚨 KRITIKAL  GP &gt; 7.00</t>
        </is>
      </c>
    </row>
    <row r="17">
      <c r="AF17" t="inlineStr">
        <is>
          <t>KELAS</t>
        </is>
      </c>
      <c r="AG17" t="inlineStr">
        <is>
          <t>% LULUS</t>
        </is>
      </c>
      <c r="AH17" t="inlineStr">
        <is>
          <t>GP</t>
        </is>
      </c>
      <c r="AI17" t="inlineStr">
        <is>
          <t>A+</t>
        </is>
      </c>
      <c r="AJ17" t="inlineStr">
        <is>
          <t>A</t>
        </is>
      </c>
      <c r="AK17" t="inlineStr">
        <is>
          <t>A-</t>
        </is>
      </c>
      <c r="AL17" t="inlineStr">
        <is>
          <t>B+</t>
        </is>
      </c>
      <c r="AM17" t="inlineStr">
        <is>
          <t>B</t>
        </is>
      </c>
      <c r="AN17" t="inlineStr">
        <is>
          <t>C+</t>
        </is>
      </c>
      <c r="AO17" t="inlineStr">
        <is>
          <t>C</t>
        </is>
      </c>
      <c r="AP17" t="inlineStr">
        <is>
          <t>D</t>
        </is>
      </c>
      <c r="AQ17" t="inlineStr">
        <is>
          <t>E</t>
        </is>
      </c>
      <c r="AR17" t="inlineStr">
        <is>
          <t>G</t>
        </is>
      </c>
      <c r="AS17" t="inlineStr">
        <is>
          <t>TH</t>
        </is>
      </c>
    </row>
    <row r="18">
      <c r="AF18" t="inlineStr">
        <is>
          <t>5 AKAUN</t>
        </is>
      </c>
      <c r="AG18" t="n">
        <v>8.699999999999999</v>
      </c>
      <c r="AH18" t="n">
        <v>8.609999999999999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</v>
      </c>
      <c r="AO18" t="n">
        <v>0</v>
      </c>
      <c r="AP18" t="n">
        <v>2</v>
      </c>
      <c r="AQ18" t="n">
        <v>1</v>
      </c>
      <c r="AR18" t="n">
        <v>19</v>
      </c>
      <c r="AS18" t="n">
        <v>1</v>
      </c>
    </row>
  </sheetData>
  <mergeCells count="33">
    <mergeCell ref="A2:AB2"/>
    <mergeCell ref="Q5:V5"/>
    <mergeCell ref="A15:E15"/>
    <mergeCell ref="K15:O15"/>
    <mergeCell ref="A11:B11"/>
    <mergeCell ref="U15:Y15"/>
    <mergeCell ref="B8:B9"/>
    <mergeCell ref="E13:AB13"/>
    <mergeCell ref="A13:D13"/>
    <mergeCell ref="Q8:R8"/>
    <mergeCell ref="K8:P8"/>
    <mergeCell ref="Q6:V6"/>
    <mergeCell ref="F15:J15"/>
    <mergeCell ref="AB8:AB9"/>
    <mergeCell ref="L5:P5"/>
    <mergeCell ref="G6:K6"/>
    <mergeCell ref="A8:A9"/>
    <mergeCell ref="C8:C9"/>
    <mergeCell ref="S8:V8"/>
    <mergeCell ref="D8:D9"/>
    <mergeCell ref="A1:AB1"/>
    <mergeCell ref="G5:K5"/>
    <mergeCell ref="W8:X8"/>
    <mergeCell ref="B6:F6"/>
    <mergeCell ref="W6:AB6"/>
    <mergeCell ref="AA8:AA9"/>
    <mergeCell ref="L6:P6"/>
    <mergeCell ref="B5:F5"/>
    <mergeCell ref="P15:T15"/>
    <mergeCell ref="W5:AB5"/>
    <mergeCell ref="E8:J8"/>
    <mergeCell ref="Y8:Z8"/>
    <mergeCell ref="A3:AB3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S18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8" customWidth="1" min="3" max="3"/>
    <col width="8" customWidth="1" min="4" max="4"/>
    <col width="5" customWidth="1" min="5" max="5"/>
    <col width="6" customWidth="1" min="6" max="6"/>
    <col width="5" customWidth="1" min="7" max="7"/>
    <col width="6" customWidth="1" min="8" max="8"/>
    <col width="5" customWidth="1" min="9" max="9"/>
    <col width="6" customWidth="1" min="10" max="10"/>
    <col width="5" customWidth="1" min="11" max="11"/>
    <col width="6" customWidth="1" min="12" max="12"/>
    <col width="5" customWidth="1" min="13" max="13"/>
    <col width="6" customWidth="1" min="14" max="14"/>
    <col width="5" customWidth="1" min="15" max="15"/>
    <col width="6" customWidth="1" min="16" max="16"/>
    <col width="5" customWidth="1" min="17" max="17"/>
    <col width="6" customWidth="1" min="18" max="18"/>
    <col width="5" customWidth="1" min="19" max="19"/>
    <col width="6" customWidth="1" min="20" max="20"/>
    <col width="5" customWidth="1" min="21" max="21"/>
    <col width="6" customWidth="1" min="22" max="22"/>
    <col width="5" customWidth="1" min="23" max="23"/>
    <col width="6" customWidth="1" min="24" max="24"/>
    <col width="5" customWidth="1" min="25" max="25"/>
    <col width="6" customWidth="1" min="26" max="26"/>
    <col width="10" customWidth="1" min="27" max="27"/>
    <col width="8" customWidth="1" min="28" max="28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</cols>
  <sheetData>
    <row r="1" ht="28" customHeight="1">
      <c r="A1" s="23" t="inlineStr">
        <is>
          <t>SEKOLAH MENENGAH KEBANGSAAN KELANA JAYA</t>
        </is>
      </c>
    </row>
    <row r="2" ht="20" customHeight="1">
      <c r="A2" s="24" t="inlineStr">
        <is>
          <t>ANALISIS PEPERIKSAAN PERTENGAHAN TAHUN 2026 — TINGKATAN 5</t>
        </is>
      </c>
    </row>
    <row r="3" ht="24" customHeight="1">
      <c r="A3" s="25" t="inlineStr">
        <is>
          <t>3769  SAINS RUMAH TANGGA</t>
        </is>
      </c>
    </row>
    <row r="5" ht="16" customHeight="1">
      <c r="B5" s="26" t="inlineStr">
        <is>
          <t>JLH DAFTAR</t>
        </is>
      </c>
      <c r="G5" s="26" t="inlineStr">
        <is>
          <t>JLH HADIR</t>
        </is>
      </c>
      <c r="L5" s="26" t="inlineStr">
        <is>
          <t>% LULUS</t>
        </is>
      </c>
      <c r="Q5" s="26" t="inlineStr">
        <is>
          <t>GRED PURATA (GP)</t>
        </is>
      </c>
      <c r="W5" s="26" t="inlineStr">
        <is>
          <t>STATUS</t>
        </is>
      </c>
    </row>
    <row r="6" ht="22" customHeight="1">
      <c r="B6" s="27" t="n">
        <v>14</v>
      </c>
      <c r="G6" s="27" t="n">
        <v>14</v>
      </c>
      <c r="L6" s="84" t="inlineStr">
        <is>
          <t>78.57%</t>
        </is>
      </c>
      <c r="Q6" s="79" t="inlineStr">
        <is>
          <t>5.64</t>
        </is>
      </c>
      <c r="W6" s="79" t="inlineStr">
        <is>
          <t>⛔ LEMAH</t>
        </is>
      </c>
    </row>
    <row r="8" ht="18" customHeight="1">
      <c r="A8" s="30" t="inlineStr">
        <is>
          <t>BIL</t>
        </is>
      </c>
      <c r="B8" s="30" t="inlineStr">
        <is>
          <t>KELAS</t>
        </is>
      </c>
      <c r="C8" s="30" t="inlineStr">
        <is>
          <t>DAFTAR</t>
        </is>
      </c>
      <c r="D8" s="30" t="inlineStr">
        <is>
          <t>HADIR</t>
        </is>
      </c>
      <c r="E8" s="31" t="inlineStr">
        <is>
          <t>CEMERLANG</t>
        </is>
      </c>
      <c r="K8" s="32" t="inlineStr">
        <is>
          <t>SEDERHANA</t>
        </is>
      </c>
      <c r="Q8" s="33" t="inlineStr">
        <is>
          <t>LULUS</t>
        </is>
      </c>
      <c r="S8" s="34" t="inlineStr">
        <is>
          <t>GAGAL</t>
        </is>
      </c>
      <c r="W8" s="35" t="inlineStr">
        <is>
          <t>GAGAL (G)</t>
        </is>
      </c>
      <c r="Y8" s="36" t="inlineStr">
        <is>
          <t>TH</t>
        </is>
      </c>
      <c r="AA8" s="37" t="inlineStr">
        <is>
          <t>% LULUS</t>
        </is>
      </c>
      <c r="AB8" s="30" t="inlineStr">
        <is>
          <t>GP</t>
        </is>
      </c>
    </row>
    <row r="9" ht="15" customHeight="1">
      <c r="E9" s="38" t="inlineStr">
        <is>
          <t>A+</t>
        </is>
      </c>
      <c r="F9" s="38" t="inlineStr">
        <is>
          <t>%</t>
        </is>
      </c>
      <c r="G9" s="38" t="inlineStr">
        <is>
          <t>A</t>
        </is>
      </c>
      <c r="H9" s="38" t="inlineStr">
        <is>
          <t>%</t>
        </is>
      </c>
      <c r="I9" s="38" t="inlineStr">
        <is>
          <t>A-</t>
        </is>
      </c>
      <c r="J9" s="38" t="inlineStr">
        <is>
          <t>%</t>
        </is>
      </c>
      <c r="K9" s="39" t="inlineStr">
        <is>
          <t>B+</t>
        </is>
      </c>
      <c r="L9" s="39" t="inlineStr">
        <is>
          <t>%</t>
        </is>
      </c>
      <c r="M9" s="39" t="inlineStr">
        <is>
          <t>B</t>
        </is>
      </c>
      <c r="N9" s="39" t="inlineStr">
        <is>
          <t>%</t>
        </is>
      </c>
      <c r="O9" s="39" t="inlineStr">
        <is>
          <t>C+</t>
        </is>
      </c>
      <c r="P9" s="39" t="inlineStr">
        <is>
          <t>%</t>
        </is>
      </c>
      <c r="Q9" s="40" t="inlineStr">
        <is>
          <t>C</t>
        </is>
      </c>
      <c r="R9" s="40" t="inlineStr">
        <is>
          <t>%</t>
        </is>
      </c>
      <c r="S9" s="41" t="inlineStr">
        <is>
          <t>D</t>
        </is>
      </c>
      <c r="T9" s="41" t="inlineStr">
        <is>
          <t>%</t>
        </is>
      </c>
      <c r="U9" s="41" t="inlineStr">
        <is>
          <t>E</t>
        </is>
      </c>
      <c r="V9" s="41" t="inlineStr">
        <is>
          <t>%</t>
        </is>
      </c>
      <c r="W9" s="42" t="inlineStr">
        <is>
          <t>G</t>
        </is>
      </c>
      <c r="X9" s="42" t="inlineStr">
        <is>
          <t>%</t>
        </is>
      </c>
      <c r="Y9" s="43" t="inlineStr">
        <is>
          <t>TH</t>
        </is>
      </c>
      <c r="Z9" s="43" t="inlineStr">
        <is>
          <t>%</t>
        </is>
      </c>
    </row>
    <row r="10" ht="18" customHeight="1">
      <c r="A10" s="44" t="n">
        <v>1</v>
      </c>
      <c r="B10" s="45" t="inlineStr">
        <is>
          <t>5 SAINS GUNAAN</t>
        </is>
      </c>
      <c r="C10" s="46" t="n">
        <v>14</v>
      </c>
      <c r="D10" s="46" t="n">
        <v>14</v>
      </c>
      <c r="E10" s="47" t="inlineStr">
        <is>
          <t>-</t>
        </is>
      </c>
      <c r="F10" s="47" t="inlineStr">
        <is>
          <t>-</t>
        </is>
      </c>
      <c r="G10" s="47" t="inlineStr">
        <is>
          <t>-</t>
        </is>
      </c>
      <c r="H10" s="47" t="inlineStr">
        <is>
          <t>-</t>
        </is>
      </c>
      <c r="I10" s="48" t="inlineStr">
        <is>
          <t>2</t>
        </is>
      </c>
      <c r="J10" s="48" t="inlineStr">
        <is>
          <t>14.3</t>
        </is>
      </c>
      <c r="K10" s="47" t="inlineStr">
        <is>
          <t>-</t>
        </is>
      </c>
      <c r="L10" s="47" t="inlineStr">
        <is>
          <t>-</t>
        </is>
      </c>
      <c r="M10" s="49" t="inlineStr">
        <is>
          <t>1</t>
        </is>
      </c>
      <c r="N10" s="49" t="inlineStr">
        <is>
          <t>7.1</t>
        </is>
      </c>
      <c r="O10" s="49" t="inlineStr">
        <is>
          <t>4</t>
        </is>
      </c>
      <c r="P10" s="49" t="inlineStr">
        <is>
          <t>28.6</t>
        </is>
      </c>
      <c r="Q10" s="63" t="inlineStr">
        <is>
          <t>2</t>
        </is>
      </c>
      <c r="R10" s="63" t="inlineStr">
        <is>
          <t>14.3</t>
        </is>
      </c>
      <c r="S10" s="50" t="inlineStr">
        <is>
          <t>2</t>
        </is>
      </c>
      <c r="T10" s="50" t="inlineStr">
        <is>
          <t>14.3</t>
        </is>
      </c>
      <c r="U10" s="50" t="inlineStr">
        <is>
          <t>2</t>
        </is>
      </c>
      <c r="V10" s="50" t="inlineStr">
        <is>
          <t>14.3</t>
        </is>
      </c>
      <c r="W10" s="50" t="inlineStr">
        <is>
          <t>1</t>
        </is>
      </c>
      <c r="X10" s="50" t="inlineStr">
        <is>
          <t>7.1</t>
        </is>
      </c>
      <c r="Y10" s="47" t="inlineStr">
        <is>
          <t>-</t>
        </is>
      </c>
      <c r="Z10" s="47" t="inlineStr">
        <is>
          <t>-</t>
        </is>
      </c>
      <c r="AA10" s="52" t="inlineStr">
        <is>
          <t>78.6%</t>
        </is>
      </c>
      <c r="AB10" s="76" t="inlineStr">
        <is>
          <t>5.64</t>
        </is>
      </c>
    </row>
    <row r="11" ht="20" customHeight="1">
      <c r="A11" s="30" t="inlineStr">
        <is>
          <t>JUMLAH / GP</t>
        </is>
      </c>
      <c r="C11" s="65" t="n">
        <v>14</v>
      </c>
      <c r="D11" s="65" t="n">
        <v>14</v>
      </c>
      <c r="E11" s="66" t="inlineStr">
        <is>
          <t>-</t>
        </is>
      </c>
      <c r="F11" s="66" t="inlineStr">
        <is>
          <t>-</t>
        </is>
      </c>
      <c r="G11" s="66" t="inlineStr">
        <is>
          <t>-</t>
        </is>
      </c>
      <c r="H11" s="66" t="inlineStr">
        <is>
          <t>-</t>
        </is>
      </c>
      <c r="I11" s="67" t="inlineStr">
        <is>
          <t>2</t>
        </is>
      </c>
      <c r="J11" s="67" t="inlineStr">
        <is>
          <t>14.3</t>
        </is>
      </c>
      <c r="K11" s="66" t="inlineStr">
        <is>
          <t>-</t>
        </is>
      </c>
      <c r="L11" s="66" t="inlineStr">
        <is>
          <t>-</t>
        </is>
      </c>
      <c r="M11" s="68" t="inlineStr">
        <is>
          <t>1</t>
        </is>
      </c>
      <c r="N11" s="68" t="inlineStr">
        <is>
          <t>7.1</t>
        </is>
      </c>
      <c r="O11" s="68" t="inlineStr">
        <is>
          <t>4</t>
        </is>
      </c>
      <c r="P11" s="68" t="inlineStr">
        <is>
          <t>28.6</t>
        </is>
      </c>
      <c r="Q11" s="69" t="inlineStr">
        <is>
          <t>2</t>
        </is>
      </c>
      <c r="R11" s="69" t="inlineStr">
        <is>
          <t>14.3</t>
        </is>
      </c>
      <c r="S11" s="70" t="inlineStr">
        <is>
          <t>2</t>
        </is>
      </c>
      <c r="T11" s="70" t="inlineStr">
        <is>
          <t>14.3</t>
        </is>
      </c>
      <c r="U11" s="70" t="inlineStr">
        <is>
          <t>2</t>
        </is>
      </c>
      <c r="V11" s="70" t="inlineStr">
        <is>
          <t>14.3</t>
        </is>
      </c>
      <c r="W11" s="70" t="inlineStr">
        <is>
          <t>1</t>
        </is>
      </c>
      <c r="X11" s="70" t="inlineStr">
        <is>
          <t>7.1</t>
        </is>
      </c>
      <c r="Y11" s="66" t="inlineStr">
        <is>
          <t>-</t>
        </is>
      </c>
      <c r="Z11" s="66" t="inlineStr">
        <is>
          <t>-</t>
        </is>
      </c>
      <c r="AA11" s="69" t="inlineStr">
        <is>
          <t>78.57%</t>
        </is>
      </c>
      <c r="AB11" s="83" t="inlineStr">
        <is>
          <t>5.64</t>
        </is>
      </c>
    </row>
    <row r="13" ht="22" customHeight="1">
      <c r="A13" s="30" t="inlineStr">
        <is>
          <t>STATUS PENCAPAIAN</t>
        </is>
      </c>
      <c r="E13" s="20" t="inlineStr">
        <is>
          <t>⛔ LEMAH   |   GP: 5.64   |   % LULUS: 78.57%</t>
        </is>
      </c>
    </row>
    <row r="15" ht="15" customHeight="1">
      <c r="A15" s="71" t="inlineStr">
        <is>
          <t>🏆 CEMERLANG  GP ≤ 2.0</t>
        </is>
      </c>
      <c r="F15" s="72" t="inlineStr">
        <is>
          <t>✅ BAIK  GP 2.01–3.00</t>
        </is>
      </c>
      <c r="K15" s="73" t="inlineStr">
        <is>
          <t>⚠️ SEDERHANA  GP 3.01–5.00</t>
        </is>
      </c>
      <c r="P15" s="74" t="inlineStr">
        <is>
          <t>⛔ LEMAH  GP 5.01–7.00</t>
        </is>
      </c>
      <c r="U15" s="75" t="inlineStr">
        <is>
          <t>🚨 KRITIKAL  GP &gt; 7.00</t>
        </is>
      </c>
    </row>
    <row r="17">
      <c r="AF17" t="inlineStr">
        <is>
          <t>KELAS</t>
        </is>
      </c>
      <c r="AG17" t="inlineStr">
        <is>
          <t>% LULUS</t>
        </is>
      </c>
      <c r="AH17" t="inlineStr">
        <is>
          <t>GP</t>
        </is>
      </c>
      <c r="AI17" t="inlineStr">
        <is>
          <t>A+</t>
        </is>
      </c>
      <c r="AJ17" t="inlineStr">
        <is>
          <t>A</t>
        </is>
      </c>
      <c r="AK17" t="inlineStr">
        <is>
          <t>A-</t>
        </is>
      </c>
      <c r="AL17" t="inlineStr">
        <is>
          <t>B+</t>
        </is>
      </c>
      <c r="AM17" t="inlineStr">
        <is>
          <t>B</t>
        </is>
      </c>
      <c r="AN17" t="inlineStr">
        <is>
          <t>C+</t>
        </is>
      </c>
      <c r="AO17" t="inlineStr">
        <is>
          <t>C</t>
        </is>
      </c>
      <c r="AP17" t="inlineStr">
        <is>
          <t>D</t>
        </is>
      </c>
      <c r="AQ17" t="inlineStr">
        <is>
          <t>E</t>
        </is>
      </c>
      <c r="AR17" t="inlineStr">
        <is>
          <t>G</t>
        </is>
      </c>
      <c r="AS17" t="inlineStr">
        <is>
          <t>TH</t>
        </is>
      </c>
    </row>
    <row r="18">
      <c r="AF18" t="inlineStr">
        <is>
          <t>5 SAINS GUNAAN</t>
        </is>
      </c>
      <c r="AG18" t="n">
        <v>78.59999999999999</v>
      </c>
      <c r="AH18" t="n">
        <v>5.64</v>
      </c>
      <c r="AI18" t="n">
        <v>0</v>
      </c>
      <c r="AJ18" t="n">
        <v>0</v>
      </c>
      <c r="AK18" t="n">
        <v>2</v>
      </c>
      <c r="AL18" t="n">
        <v>0</v>
      </c>
      <c r="AM18" t="n">
        <v>1</v>
      </c>
      <c r="AN18" t="n">
        <v>4</v>
      </c>
      <c r="AO18" t="n">
        <v>2</v>
      </c>
      <c r="AP18" t="n">
        <v>2</v>
      </c>
      <c r="AQ18" t="n">
        <v>2</v>
      </c>
      <c r="AR18" t="n">
        <v>1</v>
      </c>
      <c r="AS18" t="n">
        <v>0</v>
      </c>
    </row>
  </sheetData>
  <mergeCells count="33">
    <mergeCell ref="A2:AB2"/>
    <mergeCell ref="Q5:V5"/>
    <mergeCell ref="A15:E15"/>
    <mergeCell ref="K15:O15"/>
    <mergeCell ref="A11:B11"/>
    <mergeCell ref="U15:Y15"/>
    <mergeCell ref="B8:B9"/>
    <mergeCell ref="E13:AB13"/>
    <mergeCell ref="A13:D13"/>
    <mergeCell ref="Q8:R8"/>
    <mergeCell ref="K8:P8"/>
    <mergeCell ref="Q6:V6"/>
    <mergeCell ref="F15:J15"/>
    <mergeCell ref="AB8:AB9"/>
    <mergeCell ref="L5:P5"/>
    <mergeCell ref="G6:K6"/>
    <mergeCell ref="A8:A9"/>
    <mergeCell ref="C8:C9"/>
    <mergeCell ref="S8:V8"/>
    <mergeCell ref="D8:D9"/>
    <mergeCell ref="A1:AB1"/>
    <mergeCell ref="G5:K5"/>
    <mergeCell ref="W8:X8"/>
    <mergeCell ref="B6:F6"/>
    <mergeCell ref="W6:AB6"/>
    <mergeCell ref="AA8:AA9"/>
    <mergeCell ref="L6:P6"/>
    <mergeCell ref="B5:F5"/>
    <mergeCell ref="P15:T15"/>
    <mergeCell ref="W5:AB5"/>
    <mergeCell ref="E8:J8"/>
    <mergeCell ref="Y8:Z8"/>
    <mergeCell ref="A3:AB3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S18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8" customWidth="1" min="3" max="3"/>
    <col width="8" customWidth="1" min="4" max="4"/>
    <col width="5" customWidth="1" min="5" max="5"/>
    <col width="6" customWidth="1" min="6" max="6"/>
    <col width="5" customWidth="1" min="7" max="7"/>
    <col width="6" customWidth="1" min="8" max="8"/>
    <col width="5" customWidth="1" min="9" max="9"/>
    <col width="6" customWidth="1" min="10" max="10"/>
    <col width="5" customWidth="1" min="11" max="11"/>
    <col width="6" customWidth="1" min="12" max="12"/>
    <col width="5" customWidth="1" min="13" max="13"/>
    <col width="6" customWidth="1" min="14" max="14"/>
    <col width="5" customWidth="1" min="15" max="15"/>
    <col width="6" customWidth="1" min="16" max="16"/>
    <col width="5" customWidth="1" min="17" max="17"/>
    <col width="6" customWidth="1" min="18" max="18"/>
    <col width="5" customWidth="1" min="19" max="19"/>
    <col width="6" customWidth="1" min="20" max="20"/>
    <col width="5" customWidth="1" min="21" max="21"/>
    <col width="6" customWidth="1" min="22" max="22"/>
    <col width="5" customWidth="1" min="23" max="23"/>
    <col width="6" customWidth="1" min="24" max="24"/>
    <col width="5" customWidth="1" min="25" max="25"/>
    <col width="6" customWidth="1" min="26" max="26"/>
    <col width="10" customWidth="1" min="27" max="27"/>
    <col width="8" customWidth="1" min="28" max="28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</cols>
  <sheetData>
    <row r="1" ht="28" customHeight="1">
      <c r="A1" s="23" t="inlineStr">
        <is>
          <t>SEKOLAH MENENGAH KEBANGSAAN KELANA JAYA</t>
        </is>
      </c>
    </row>
    <row r="2" ht="20" customHeight="1">
      <c r="A2" s="24" t="inlineStr">
        <is>
          <t>ANALISIS PEPERIKSAAN PERTENGAHAN TAHUN 2026 — TINGKATAN 5</t>
        </is>
      </c>
    </row>
    <row r="3" ht="24" customHeight="1">
      <c r="A3" s="25" t="inlineStr">
        <is>
          <t>4572  SAINS SUKAN</t>
        </is>
      </c>
    </row>
    <row r="5" ht="16" customHeight="1">
      <c r="B5" s="26" t="inlineStr">
        <is>
          <t>JLH DAFTAR</t>
        </is>
      </c>
      <c r="G5" s="26" t="inlineStr">
        <is>
          <t>JLH HADIR</t>
        </is>
      </c>
      <c r="L5" s="26" t="inlineStr">
        <is>
          <t>% LULUS</t>
        </is>
      </c>
      <c r="Q5" s="26" t="inlineStr">
        <is>
          <t>GRED PURATA (GP)</t>
        </is>
      </c>
      <c r="W5" s="26" t="inlineStr">
        <is>
          <t>STATUS</t>
        </is>
      </c>
    </row>
    <row r="6" ht="22" customHeight="1">
      <c r="B6" s="27" t="n">
        <v>23</v>
      </c>
      <c r="G6" s="27" t="n">
        <v>23</v>
      </c>
      <c r="L6" s="84" t="inlineStr">
        <is>
          <t>69.57%</t>
        </is>
      </c>
      <c r="Q6" s="79" t="inlineStr">
        <is>
          <t>6.13</t>
        </is>
      </c>
      <c r="W6" s="79" t="inlineStr">
        <is>
          <t>⛔ LEMAH</t>
        </is>
      </c>
    </row>
    <row r="8" ht="18" customHeight="1">
      <c r="A8" s="30" t="inlineStr">
        <is>
          <t>BIL</t>
        </is>
      </c>
      <c r="B8" s="30" t="inlineStr">
        <is>
          <t>KELAS</t>
        </is>
      </c>
      <c r="C8" s="30" t="inlineStr">
        <is>
          <t>DAFTAR</t>
        </is>
      </c>
      <c r="D8" s="30" t="inlineStr">
        <is>
          <t>HADIR</t>
        </is>
      </c>
      <c r="E8" s="31" t="inlineStr">
        <is>
          <t>CEMERLANG</t>
        </is>
      </c>
      <c r="K8" s="32" t="inlineStr">
        <is>
          <t>SEDERHANA</t>
        </is>
      </c>
      <c r="Q8" s="33" t="inlineStr">
        <is>
          <t>LULUS</t>
        </is>
      </c>
      <c r="S8" s="34" t="inlineStr">
        <is>
          <t>GAGAL</t>
        </is>
      </c>
      <c r="W8" s="35" t="inlineStr">
        <is>
          <t>GAGAL (G)</t>
        </is>
      </c>
      <c r="Y8" s="36" t="inlineStr">
        <is>
          <t>TH</t>
        </is>
      </c>
      <c r="AA8" s="37" t="inlineStr">
        <is>
          <t>% LULUS</t>
        </is>
      </c>
      <c r="AB8" s="30" t="inlineStr">
        <is>
          <t>GP</t>
        </is>
      </c>
    </row>
    <row r="9" ht="15" customHeight="1">
      <c r="E9" s="38" t="inlineStr">
        <is>
          <t>A+</t>
        </is>
      </c>
      <c r="F9" s="38" t="inlineStr">
        <is>
          <t>%</t>
        </is>
      </c>
      <c r="G9" s="38" t="inlineStr">
        <is>
          <t>A</t>
        </is>
      </c>
      <c r="H9" s="38" t="inlineStr">
        <is>
          <t>%</t>
        </is>
      </c>
      <c r="I9" s="38" t="inlineStr">
        <is>
          <t>A-</t>
        </is>
      </c>
      <c r="J9" s="38" t="inlineStr">
        <is>
          <t>%</t>
        </is>
      </c>
      <c r="K9" s="39" t="inlineStr">
        <is>
          <t>B+</t>
        </is>
      </c>
      <c r="L9" s="39" t="inlineStr">
        <is>
          <t>%</t>
        </is>
      </c>
      <c r="M9" s="39" t="inlineStr">
        <is>
          <t>B</t>
        </is>
      </c>
      <c r="N9" s="39" t="inlineStr">
        <is>
          <t>%</t>
        </is>
      </c>
      <c r="O9" s="39" t="inlineStr">
        <is>
          <t>C+</t>
        </is>
      </c>
      <c r="P9" s="39" t="inlineStr">
        <is>
          <t>%</t>
        </is>
      </c>
      <c r="Q9" s="40" t="inlineStr">
        <is>
          <t>C</t>
        </is>
      </c>
      <c r="R9" s="40" t="inlineStr">
        <is>
          <t>%</t>
        </is>
      </c>
      <c r="S9" s="41" t="inlineStr">
        <is>
          <t>D</t>
        </is>
      </c>
      <c r="T9" s="41" t="inlineStr">
        <is>
          <t>%</t>
        </is>
      </c>
      <c r="U9" s="41" t="inlineStr">
        <is>
          <t>E</t>
        </is>
      </c>
      <c r="V9" s="41" t="inlineStr">
        <is>
          <t>%</t>
        </is>
      </c>
      <c r="W9" s="42" t="inlineStr">
        <is>
          <t>G</t>
        </is>
      </c>
      <c r="X9" s="42" t="inlineStr">
        <is>
          <t>%</t>
        </is>
      </c>
      <c r="Y9" s="43" t="inlineStr">
        <is>
          <t>TH</t>
        </is>
      </c>
      <c r="Z9" s="43" t="inlineStr">
        <is>
          <t>%</t>
        </is>
      </c>
    </row>
    <row r="10" ht="18" customHeight="1">
      <c r="A10" s="44" t="n">
        <v>1</v>
      </c>
      <c r="B10" s="45" t="inlineStr">
        <is>
          <t>5 SAINS GUNAAN</t>
        </is>
      </c>
      <c r="C10" s="46" t="n">
        <v>23</v>
      </c>
      <c r="D10" s="46" t="n">
        <v>23</v>
      </c>
      <c r="E10" s="47" t="inlineStr">
        <is>
          <t>-</t>
        </is>
      </c>
      <c r="F10" s="47" t="inlineStr">
        <is>
          <t>-</t>
        </is>
      </c>
      <c r="G10" s="47" t="inlineStr">
        <is>
          <t>-</t>
        </is>
      </c>
      <c r="H10" s="47" t="inlineStr">
        <is>
          <t>-</t>
        </is>
      </c>
      <c r="I10" s="47" t="inlineStr">
        <is>
          <t>-</t>
        </is>
      </c>
      <c r="J10" s="47" t="inlineStr">
        <is>
          <t>-</t>
        </is>
      </c>
      <c r="K10" s="49" t="inlineStr">
        <is>
          <t>4</t>
        </is>
      </c>
      <c r="L10" s="49" t="inlineStr">
        <is>
          <t>17.4</t>
        </is>
      </c>
      <c r="M10" s="49" t="inlineStr">
        <is>
          <t>2</t>
        </is>
      </c>
      <c r="N10" s="49" t="inlineStr">
        <is>
          <t>8.7</t>
        </is>
      </c>
      <c r="O10" s="49" t="inlineStr">
        <is>
          <t>1</t>
        </is>
      </c>
      <c r="P10" s="49" t="inlineStr">
        <is>
          <t>4.3</t>
        </is>
      </c>
      <c r="Q10" s="63" t="inlineStr">
        <is>
          <t>7</t>
        </is>
      </c>
      <c r="R10" s="63" t="inlineStr">
        <is>
          <t>30.4</t>
        </is>
      </c>
      <c r="S10" s="50" t="inlineStr">
        <is>
          <t>2</t>
        </is>
      </c>
      <c r="T10" s="50" t="inlineStr">
        <is>
          <t>8.7</t>
        </is>
      </c>
      <c r="U10" s="50" t="inlineStr">
        <is>
          <t>3</t>
        </is>
      </c>
      <c r="V10" s="50" t="inlineStr">
        <is>
          <t>13.0</t>
        </is>
      </c>
      <c r="W10" s="50" t="inlineStr">
        <is>
          <t>4</t>
        </is>
      </c>
      <c r="X10" s="50" t="inlineStr">
        <is>
          <t>17.4</t>
        </is>
      </c>
      <c r="Y10" s="47" t="inlineStr">
        <is>
          <t>-</t>
        </is>
      </c>
      <c r="Z10" s="47" t="inlineStr">
        <is>
          <t>-</t>
        </is>
      </c>
      <c r="AA10" s="52" t="inlineStr">
        <is>
          <t>69.6%</t>
        </is>
      </c>
      <c r="AB10" s="76" t="inlineStr">
        <is>
          <t>6.13</t>
        </is>
      </c>
    </row>
    <row r="11" ht="20" customHeight="1">
      <c r="A11" s="30" t="inlineStr">
        <is>
          <t>JUMLAH / GP</t>
        </is>
      </c>
      <c r="C11" s="65" t="n">
        <v>23</v>
      </c>
      <c r="D11" s="65" t="n">
        <v>23</v>
      </c>
      <c r="E11" s="66" t="inlineStr">
        <is>
          <t>-</t>
        </is>
      </c>
      <c r="F11" s="66" t="inlineStr">
        <is>
          <t>-</t>
        </is>
      </c>
      <c r="G11" s="66" t="inlineStr">
        <is>
          <t>-</t>
        </is>
      </c>
      <c r="H11" s="66" t="inlineStr">
        <is>
          <t>-</t>
        </is>
      </c>
      <c r="I11" s="66" t="inlineStr">
        <is>
          <t>-</t>
        </is>
      </c>
      <c r="J11" s="66" t="inlineStr">
        <is>
          <t>-</t>
        </is>
      </c>
      <c r="K11" s="68" t="inlineStr">
        <is>
          <t>4</t>
        </is>
      </c>
      <c r="L11" s="68" t="inlineStr">
        <is>
          <t>17.4</t>
        </is>
      </c>
      <c r="M11" s="68" t="inlineStr">
        <is>
          <t>2</t>
        </is>
      </c>
      <c r="N11" s="68" t="inlineStr">
        <is>
          <t>8.7</t>
        </is>
      </c>
      <c r="O11" s="68" t="inlineStr">
        <is>
          <t>1</t>
        </is>
      </c>
      <c r="P11" s="68" t="inlineStr">
        <is>
          <t>4.3</t>
        </is>
      </c>
      <c r="Q11" s="69" t="inlineStr">
        <is>
          <t>7</t>
        </is>
      </c>
      <c r="R11" s="69" t="inlineStr">
        <is>
          <t>30.4</t>
        </is>
      </c>
      <c r="S11" s="70" t="inlineStr">
        <is>
          <t>2</t>
        </is>
      </c>
      <c r="T11" s="70" t="inlineStr">
        <is>
          <t>8.7</t>
        </is>
      </c>
      <c r="U11" s="70" t="inlineStr">
        <is>
          <t>3</t>
        </is>
      </c>
      <c r="V11" s="70" t="inlineStr">
        <is>
          <t>13.0</t>
        </is>
      </c>
      <c r="W11" s="70" t="inlineStr">
        <is>
          <t>4</t>
        </is>
      </c>
      <c r="X11" s="70" t="inlineStr">
        <is>
          <t>17.4</t>
        </is>
      </c>
      <c r="Y11" s="66" t="inlineStr">
        <is>
          <t>-</t>
        </is>
      </c>
      <c r="Z11" s="66" t="inlineStr">
        <is>
          <t>-</t>
        </is>
      </c>
      <c r="AA11" s="69" t="inlineStr">
        <is>
          <t>69.57%</t>
        </is>
      </c>
      <c r="AB11" s="83" t="inlineStr">
        <is>
          <t>6.13</t>
        </is>
      </c>
    </row>
    <row r="13" ht="22" customHeight="1">
      <c r="A13" s="30" t="inlineStr">
        <is>
          <t>STATUS PENCAPAIAN</t>
        </is>
      </c>
      <c r="E13" s="20" t="inlineStr">
        <is>
          <t>⛔ LEMAH   |   GP: 6.13   |   % LULUS: 69.57%</t>
        </is>
      </c>
    </row>
    <row r="15" ht="15" customHeight="1">
      <c r="A15" s="71" t="inlineStr">
        <is>
          <t>🏆 CEMERLANG  GP ≤ 2.0</t>
        </is>
      </c>
      <c r="F15" s="72" t="inlineStr">
        <is>
          <t>✅ BAIK  GP 2.01–3.00</t>
        </is>
      </c>
      <c r="K15" s="73" t="inlineStr">
        <is>
          <t>⚠️ SEDERHANA  GP 3.01–5.00</t>
        </is>
      </c>
      <c r="P15" s="74" t="inlineStr">
        <is>
          <t>⛔ LEMAH  GP 5.01–7.00</t>
        </is>
      </c>
      <c r="U15" s="75" t="inlineStr">
        <is>
          <t>🚨 KRITIKAL  GP &gt; 7.00</t>
        </is>
      </c>
    </row>
    <row r="17">
      <c r="AF17" t="inlineStr">
        <is>
          <t>KELAS</t>
        </is>
      </c>
      <c r="AG17" t="inlineStr">
        <is>
          <t>% LULUS</t>
        </is>
      </c>
      <c r="AH17" t="inlineStr">
        <is>
          <t>GP</t>
        </is>
      </c>
      <c r="AI17" t="inlineStr">
        <is>
          <t>A+</t>
        </is>
      </c>
      <c r="AJ17" t="inlineStr">
        <is>
          <t>A</t>
        </is>
      </c>
      <c r="AK17" t="inlineStr">
        <is>
          <t>A-</t>
        </is>
      </c>
      <c r="AL17" t="inlineStr">
        <is>
          <t>B+</t>
        </is>
      </c>
      <c r="AM17" t="inlineStr">
        <is>
          <t>B</t>
        </is>
      </c>
      <c r="AN17" t="inlineStr">
        <is>
          <t>C+</t>
        </is>
      </c>
      <c r="AO17" t="inlineStr">
        <is>
          <t>C</t>
        </is>
      </c>
      <c r="AP17" t="inlineStr">
        <is>
          <t>D</t>
        </is>
      </c>
      <c r="AQ17" t="inlineStr">
        <is>
          <t>E</t>
        </is>
      </c>
      <c r="AR17" t="inlineStr">
        <is>
          <t>G</t>
        </is>
      </c>
      <c r="AS17" t="inlineStr">
        <is>
          <t>TH</t>
        </is>
      </c>
    </row>
    <row r="18">
      <c r="AF18" t="inlineStr">
        <is>
          <t>5 SAINS GUNAAN</t>
        </is>
      </c>
      <c r="AG18" t="n">
        <v>69.59999999999999</v>
      </c>
      <c r="AH18" t="n">
        <v>6.13</v>
      </c>
      <c r="AI18" t="n">
        <v>0</v>
      </c>
      <c r="AJ18" t="n">
        <v>0</v>
      </c>
      <c r="AK18" t="n">
        <v>0</v>
      </c>
      <c r="AL18" t="n">
        <v>4</v>
      </c>
      <c r="AM18" t="n">
        <v>2</v>
      </c>
      <c r="AN18" t="n">
        <v>1</v>
      </c>
      <c r="AO18" t="n">
        <v>7</v>
      </c>
      <c r="AP18" t="n">
        <v>2</v>
      </c>
      <c r="AQ18" t="n">
        <v>3</v>
      </c>
      <c r="AR18" t="n">
        <v>4</v>
      </c>
      <c r="AS18" t="n">
        <v>0</v>
      </c>
    </row>
  </sheetData>
  <mergeCells count="33">
    <mergeCell ref="A2:AB2"/>
    <mergeCell ref="Q5:V5"/>
    <mergeCell ref="A15:E15"/>
    <mergeCell ref="K15:O15"/>
    <mergeCell ref="A11:B11"/>
    <mergeCell ref="U15:Y15"/>
    <mergeCell ref="B8:B9"/>
    <mergeCell ref="E13:AB13"/>
    <mergeCell ref="A13:D13"/>
    <mergeCell ref="Q8:R8"/>
    <mergeCell ref="K8:P8"/>
    <mergeCell ref="Q6:V6"/>
    <mergeCell ref="F15:J15"/>
    <mergeCell ref="AB8:AB9"/>
    <mergeCell ref="L5:P5"/>
    <mergeCell ref="G6:K6"/>
    <mergeCell ref="A8:A9"/>
    <mergeCell ref="C8:C9"/>
    <mergeCell ref="S8:V8"/>
    <mergeCell ref="D8:D9"/>
    <mergeCell ref="A1:AB1"/>
    <mergeCell ref="G5:K5"/>
    <mergeCell ref="W8:X8"/>
    <mergeCell ref="B6:F6"/>
    <mergeCell ref="W6:AB6"/>
    <mergeCell ref="AA8:AA9"/>
    <mergeCell ref="L6:P6"/>
    <mergeCell ref="B5:F5"/>
    <mergeCell ref="P15:T15"/>
    <mergeCell ref="W5:AB5"/>
    <mergeCell ref="E8:J8"/>
    <mergeCell ref="Y8:Z8"/>
    <mergeCell ref="A3:AB3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S18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8" customWidth="1" min="3" max="3"/>
    <col width="8" customWidth="1" min="4" max="4"/>
    <col width="5" customWidth="1" min="5" max="5"/>
    <col width="6" customWidth="1" min="6" max="6"/>
    <col width="5" customWidth="1" min="7" max="7"/>
    <col width="6" customWidth="1" min="8" max="8"/>
    <col width="5" customWidth="1" min="9" max="9"/>
    <col width="6" customWidth="1" min="10" max="10"/>
    <col width="5" customWidth="1" min="11" max="11"/>
    <col width="6" customWidth="1" min="12" max="12"/>
    <col width="5" customWidth="1" min="13" max="13"/>
    <col width="6" customWidth="1" min="14" max="14"/>
    <col width="5" customWidth="1" min="15" max="15"/>
    <col width="6" customWidth="1" min="16" max="16"/>
    <col width="5" customWidth="1" min="17" max="17"/>
    <col width="6" customWidth="1" min="18" max="18"/>
    <col width="5" customWidth="1" min="19" max="19"/>
    <col width="6" customWidth="1" min="20" max="20"/>
    <col width="5" customWidth="1" min="21" max="21"/>
    <col width="6" customWidth="1" min="22" max="22"/>
    <col width="5" customWidth="1" min="23" max="23"/>
    <col width="6" customWidth="1" min="24" max="24"/>
    <col width="5" customWidth="1" min="25" max="25"/>
    <col width="6" customWidth="1" min="26" max="26"/>
    <col width="10" customWidth="1" min="27" max="27"/>
    <col width="8" customWidth="1" min="28" max="28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</cols>
  <sheetData>
    <row r="1" ht="28" customHeight="1">
      <c r="A1" s="23" t="inlineStr">
        <is>
          <t>SEKOLAH MENENGAH KEBANGSAAN KELANA JAYA</t>
        </is>
      </c>
    </row>
    <row r="2" ht="20" customHeight="1">
      <c r="A2" s="24" t="inlineStr">
        <is>
          <t>ANALISIS PEPERIKSAAN PERTENGAHAN TAHUN 2026 — TINGKATAN 5</t>
        </is>
      </c>
    </row>
    <row r="3" ht="24" customHeight="1">
      <c r="A3" s="25" t="inlineStr">
        <is>
          <t>5226  TASAWWUR ISLAM</t>
        </is>
      </c>
    </row>
    <row r="5" ht="16" customHeight="1">
      <c r="B5" s="26" t="inlineStr">
        <is>
          <t>JLH DAFTAR</t>
        </is>
      </c>
      <c r="G5" s="26" t="inlineStr">
        <is>
          <t>JLH HADIR</t>
        </is>
      </c>
      <c r="L5" s="26" t="inlineStr">
        <is>
          <t>% LULUS</t>
        </is>
      </c>
      <c r="Q5" s="26" t="inlineStr">
        <is>
          <t>GRED PURATA (GP)</t>
        </is>
      </c>
      <c r="W5" s="26" t="inlineStr">
        <is>
          <t>STATUS</t>
        </is>
      </c>
    </row>
    <row r="6" ht="22" customHeight="1">
      <c r="B6" s="27" t="n">
        <v>11</v>
      </c>
      <c r="G6" s="27" t="n">
        <v>11</v>
      </c>
      <c r="L6" s="84" t="inlineStr">
        <is>
          <t>72.73%</t>
        </is>
      </c>
      <c r="Q6" s="79" t="inlineStr">
        <is>
          <t>5.36</t>
        </is>
      </c>
      <c r="W6" s="79" t="inlineStr">
        <is>
          <t>⛔ LEMAH</t>
        </is>
      </c>
    </row>
    <row r="8" ht="18" customHeight="1">
      <c r="A8" s="30" t="inlineStr">
        <is>
          <t>BIL</t>
        </is>
      </c>
      <c r="B8" s="30" t="inlineStr">
        <is>
          <t>KELAS</t>
        </is>
      </c>
      <c r="C8" s="30" t="inlineStr">
        <is>
          <t>DAFTAR</t>
        </is>
      </c>
      <c r="D8" s="30" t="inlineStr">
        <is>
          <t>HADIR</t>
        </is>
      </c>
      <c r="E8" s="31" t="inlineStr">
        <is>
          <t>CEMERLANG</t>
        </is>
      </c>
      <c r="K8" s="32" t="inlineStr">
        <is>
          <t>SEDERHANA</t>
        </is>
      </c>
      <c r="Q8" s="33" t="inlineStr">
        <is>
          <t>LULUS</t>
        </is>
      </c>
      <c r="S8" s="34" t="inlineStr">
        <is>
          <t>GAGAL</t>
        </is>
      </c>
      <c r="W8" s="35" t="inlineStr">
        <is>
          <t>GAGAL (G)</t>
        </is>
      </c>
      <c r="Y8" s="36" t="inlineStr">
        <is>
          <t>TH</t>
        </is>
      </c>
      <c r="AA8" s="37" t="inlineStr">
        <is>
          <t>% LULUS</t>
        </is>
      </c>
      <c r="AB8" s="30" t="inlineStr">
        <is>
          <t>GP</t>
        </is>
      </c>
    </row>
    <row r="9" ht="15" customHeight="1">
      <c r="E9" s="38" t="inlineStr">
        <is>
          <t>A+</t>
        </is>
      </c>
      <c r="F9" s="38" t="inlineStr">
        <is>
          <t>%</t>
        </is>
      </c>
      <c r="G9" s="38" t="inlineStr">
        <is>
          <t>A</t>
        </is>
      </c>
      <c r="H9" s="38" t="inlineStr">
        <is>
          <t>%</t>
        </is>
      </c>
      <c r="I9" s="38" t="inlineStr">
        <is>
          <t>A-</t>
        </is>
      </c>
      <c r="J9" s="38" t="inlineStr">
        <is>
          <t>%</t>
        </is>
      </c>
      <c r="K9" s="39" t="inlineStr">
        <is>
          <t>B+</t>
        </is>
      </c>
      <c r="L9" s="39" t="inlineStr">
        <is>
          <t>%</t>
        </is>
      </c>
      <c r="M9" s="39" t="inlineStr">
        <is>
          <t>B</t>
        </is>
      </c>
      <c r="N9" s="39" t="inlineStr">
        <is>
          <t>%</t>
        </is>
      </c>
      <c r="O9" s="39" t="inlineStr">
        <is>
          <t>C+</t>
        </is>
      </c>
      <c r="P9" s="39" t="inlineStr">
        <is>
          <t>%</t>
        </is>
      </c>
      <c r="Q9" s="40" t="inlineStr">
        <is>
          <t>C</t>
        </is>
      </c>
      <c r="R9" s="40" t="inlineStr">
        <is>
          <t>%</t>
        </is>
      </c>
      <c r="S9" s="41" t="inlineStr">
        <is>
          <t>D</t>
        </is>
      </c>
      <c r="T9" s="41" t="inlineStr">
        <is>
          <t>%</t>
        </is>
      </c>
      <c r="U9" s="41" t="inlineStr">
        <is>
          <t>E</t>
        </is>
      </c>
      <c r="V9" s="41" t="inlineStr">
        <is>
          <t>%</t>
        </is>
      </c>
      <c r="W9" s="42" t="inlineStr">
        <is>
          <t>G</t>
        </is>
      </c>
      <c r="X9" s="42" t="inlineStr">
        <is>
          <t>%</t>
        </is>
      </c>
      <c r="Y9" s="43" t="inlineStr">
        <is>
          <t>TH</t>
        </is>
      </c>
      <c r="Z9" s="43" t="inlineStr">
        <is>
          <t>%</t>
        </is>
      </c>
    </row>
    <row r="10" ht="18" customHeight="1">
      <c r="A10" s="44" t="n">
        <v>1</v>
      </c>
      <c r="B10" s="45" t="inlineStr">
        <is>
          <t>5 AKAUN</t>
        </is>
      </c>
      <c r="C10" s="46" t="n">
        <v>11</v>
      </c>
      <c r="D10" s="46" t="n">
        <v>11</v>
      </c>
      <c r="E10" s="47" t="inlineStr">
        <is>
          <t>-</t>
        </is>
      </c>
      <c r="F10" s="47" t="inlineStr">
        <is>
          <t>-</t>
        </is>
      </c>
      <c r="G10" s="48" t="inlineStr">
        <is>
          <t>2</t>
        </is>
      </c>
      <c r="H10" s="48" t="inlineStr">
        <is>
          <t>18.2</t>
        </is>
      </c>
      <c r="I10" s="48" t="inlineStr">
        <is>
          <t>1</t>
        </is>
      </c>
      <c r="J10" s="48" t="inlineStr">
        <is>
          <t>9.1</t>
        </is>
      </c>
      <c r="K10" s="47" t="inlineStr">
        <is>
          <t>-</t>
        </is>
      </c>
      <c r="L10" s="47" t="inlineStr">
        <is>
          <t>-</t>
        </is>
      </c>
      <c r="M10" s="49" t="inlineStr">
        <is>
          <t>1</t>
        </is>
      </c>
      <c r="N10" s="49" t="inlineStr">
        <is>
          <t>9.1</t>
        </is>
      </c>
      <c r="O10" s="47" t="inlineStr">
        <is>
          <t>-</t>
        </is>
      </c>
      <c r="P10" s="47" t="inlineStr">
        <is>
          <t>-</t>
        </is>
      </c>
      <c r="Q10" s="63" t="inlineStr">
        <is>
          <t>1</t>
        </is>
      </c>
      <c r="R10" s="63" t="inlineStr">
        <is>
          <t>9.1</t>
        </is>
      </c>
      <c r="S10" s="50" t="inlineStr">
        <is>
          <t>3</t>
        </is>
      </c>
      <c r="T10" s="50" t="inlineStr">
        <is>
          <t>27.3</t>
        </is>
      </c>
      <c r="U10" s="50" t="inlineStr">
        <is>
          <t>3</t>
        </is>
      </c>
      <c r="V10" s="50" t="inlineStr">
        <is>
          <t>27.3</t>
        </is>
      </c>
      <c r="W10" s="47" t="inlineStr">
        <is>
          <t>-</t>
        </is>
      </c>
      <c r="X10" s="47" t="inlineStr">
        <is>
          <t>-</t>
        </is>
      </c>
      <c r="Y10" s="47" t="inlineStr">
        <is>
          <t>-</t>
        </is>
      </c>
      <c r="Z10" s="47" t="inlineStr">
        <is>
          <t>-</t>
        </is>
      </c>
      <c r="AA10" s="52" t="inlineStr">
        <is>
          <t>72.7%</t>
        </is>
      </c>
      <c r="AB10" s="76" t="inlineStr">
        <is>
          <t>5.36</t>
        </is>
      </c>
    </row>
    <row r="11" ht="20" customHeight="1">
      <c r="A11" s="30" t="inlineStr">
        <is>
          <t>JUMLAH / GP</t>
        </is>
      </c>
      <c r="C11" s="65" t="n">
        <v>11</v>
      </c>
      <c r="D11" s="65" t="n">
        <v>11</v>
      </c>
      <c r="E11" s="66" t="inlineStr">
        <is>
          <t>-</t>
        </is>
      </c>
      <c r="F11" s="66" t="inlineStr">
        <is>
          <t>-</t>
        </is>
      </c>
      <c r="G11" s="67" t="inlineStr">
        <is>
          <t>2</t>
        </is>
      </c>
      <c r="H11" s="67" t="inlineStr">
        <is>
          <t>18.2</t>
        </is>
      </c>
      <c r="I11" s="67" t="inlineStr">
        <is>
          <t>1</t>
        </is>
      </c>
      <c r="J11" s="67" t="inlineStr">
        <is>
          <t>9.1</t>
        </is>
      </c>
      <c r="K11" s="66" t="inlineStr">
        <is>
          <t>-</t>
        </is>
      </c>
      <c r="L11" s="66" t="inlineStr">
        <is>
          <t>-</t>
        </is>
      </c>
      <c r="M11" s="68" t="inlineStr">
        <is>
          <t>1</t>
        </is>
      </c>
      <c r="N11" s="68" t="inlineStr">
        <is>
          <t>9.1</t>
        </is>
      </c>
      <c r="O11" s="66" t="inlineStr">
        <is>
          <t>-</t>
        </is>
      </c>
      <c r="P11" s="66" t="inlineStr">
        <is>
          <t>-</t>
        </is>
      </c>
      <c r="Q11" s="69" t="inlineStr">
        <is>
          <t>1</t>
        </is>
      </c>
      <c r="R11" s="69" t="inlineStr">
        <is>
          <t>9.1</t>
        </is>
      </c>
      <c r="S11" s="70" t="inlineStr">
        <is>
          <t>3</t>
        </is>
      </c>
      <c r="T11" s="70" t="inlineStr">
        <is>
          <t>27.3</t>
        </is>
      </c>
      <c r="U11" s="70" t="inlineStr">
        <is>
          <t>3</t>
        </is>
      </c>
      <c r="V11" s="70" t="inlineStr">
        <is>
          <t>27.3</t>
        </is>
      </c>
      <c r="W11" s="66" t="inlineStr">
        <is>
          <t>-</t>
        </is>
      </c>
      <c r="X11" s="66" t="inlineStr">
        <is>
          <t>-</t>
        </is>
      </c>
      <c r="Y11" s="66" t="inlineStr">
        <is>
          <t>-</t>
        </is>
      </c>
      <c r="Z11" s="66" t="inlineStr">
        <is>
          <t>-</t>
        </is>
      </c>
      <c r="AA11" s="69" t="inlineStr">
        <is>
          <t>72.73%</t>
        </is>
      </c>
      <c r="AB11" s="83" t="inlineStr">
        <is>
          <t>5.36</t>
        </is>
      </c>
    </row>
    <row r="13" ht="22" customHeight="1">
      <c r="A13" s="30" t="inlineStr">
        <is>
          <t>STATUS PENCAPAIAN</t>
        </is>
      </c>
      <c r="E13" s="20" t="inlineStr">
        <is>
          <t>⛔ LEMAH   |   GP: 5.36   |   % LULUS: 72.73%</t>
        </is>
      </c>
    </row>
    <row r="15" ht="15" customHeight="1">
      <c r="A15" s="71" t="inlineStr">
        <is>
          <t>🏆 CEMERLANG  GP ≤ 2.0</t>
        </is>
      </c>
      <c r="F15" s="72" t="inlineStr">
        <is>
          <t>✅ BAIK  GP 2.01–3.00</t>
        </is>
      </c>
      <c r="K15" s="73" t="inlineStr">
        <is>
          <t>⚠️ SEDERHANA  GP 3.01–5.00</t>
        </is>
      </c>
      <c r="P15" s="74" t="inlineStr">
        <is>
          <t>⛔ LEMAH  GP 5.01–7.00</t>
        </is>
      </c>
      <c r="U15" s="75" t="inlineStr">
        <is>
          <t>🚨 KRITIKAL  GP &gt; 7.00</t>
        </is>
      </c>
    </row>
    <row r="17">
      <c r="AF17" t="inlineStr">
        <is>
          <t>KELAS</t>
        </is>
      </c>
      <c r="AG17" t="inlineStr">
        <is>
          <t>% LULUS</t>
        </is>
      </c>
      <c r="AH17" t="inlineStr">
        <is>
          <t>GP</t>
        </is>
      </c>
      <c r="AI17" t="inlineStr">
        <is>
          <t>A+</t>
        </is>
      </c>
      <c r="AJ17" t="inlineStr">
        <is>
          <t>A</t>
        </is>
      </c>
      <c r="AK17" t="inlineStr">
        <is>
          <t>A-</t>
        </is>
      </c>
      <c r="AL17" t="inlineStr">
        <is>
          <t>B+</t>
        </is>
      </c>
      <c r="AM17" t="inlineStr">
        <is>
          <t>B</t>
        </is>
      </c>
      <c r="AN17" t="inlineStr">
        <is>
          <t>C+</t>
        </is>
      </c>
      <c r="AO17" t="inlineStr">
        <is>
          <t>C</t>
        </is>
      </c>
      <c r="AP17" t="inlineStr">
        <is>
          <t>D</t>
        </is>
      </c>
      <c r="AQ17" t="inlineStr">
        <is>
          <t>E</t>
        </is>
      </c>
      <c r="AR17" t="inlineStr">
        <is>
          <t>G</t>
        </is>
      </c>
      <c r="AS17" t="inlineStr">
        <is>
          <t>TH</t>
        </is>
      </c>
    </row>
    <row r="18">
      <c r="AF18" t="inlineStr">
        <is>
          <t>5 AKAUN</t>
        </is>
      </c>
      <c r="AG18" t="n">
        <v>72.7</v>
      </c>
      <c r="AH18" t="n">
        <v>5.36</v>
      </c>
      <c r="AI18" t="n">
        <v>0</v>
      </c>
      <c r="AJ18" t="n">
        <v>2</v>
      </c>
      <c r="AK18" t="n">
        <v>1</v>
      </c>
      <c r="AL18" t="n">
        <v>0</v>
      </c>
      <c r="AM18" t="n">
        <v>1</v>
      </c>
      <c r="AN18" t="n">
        <v>0</v>
      </c>
      <c r="AO18" t="n">
        <v>1</v>
      </c>
      <c r="AP18" t="n">
        <v>3</v>
      </c>
      <c r="AQ18" t="n">
        <v>3</v>
      </c>
      <c r="AR18" t="n">
        <v>0</v>
      </c>
      <c r="AS18" t="n">
        <v>0</v>
      </c>
    </row>
  </sheetData>
  <mergeCells count="33">
    <mergeCell ref="A2:AB2"/>
    <mergeCell ref="Q5:V5"/>
    <mergeCell ref="A15:E15"/>
    <mergeCell ref="K15:O15"/>
    <mergeCell ref="A11:B11"/>
    <mergeCell ref="U15:Y15"/>
    <mergeCell ref="B8:B9"/>
    <mergeCell ref="E13:AB13"/>
    <mergeCell ref="A13:D13"/>
    <mergeCell ref="Q8:R8"/>
    <mergeCell ref="K8:P8"/>
    <mergeCell ref="Q6:V6"/>
    <mergeCell ref="F15:J15"/>
    <mergeCell ref="AB8:AB9"/>
    <mergeCell ref="L5:P5"/>
    <mergeCell ref="G6:K6"/>
    <mergeCell ref="A8:A9"/>
    <mergeCell ref="C8:C9"/>
    <mergeCell ref="S8:V8"/>
    <mergeCell ref="D8:D9"/>
    <mergeCell ref="A1:AB1"/>
    <mergeCell ref="G5:K5"/>
    <mergeCell ref="W8:X8"/>
    <mergeCell ref="B6:F6"/>
    <mergeCell ref="W6:AB6"/>
    <mergeCell ref="AA8:AA9"/>
    <mergeCell ref="L6:P6"/>
    <mergeCell ref="B5:F5"/>
    <mergeCell ref="P15:T15"/>
    <mergeCell ref="W5:AB5"/>
    <mergeCell ref="E8:J8"/>
    <mergeCell ref="Y8:Z8"/>
    <mergeCell ref="A3:AB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2026-06-14T06:59:03Z</dcterms:created>
  <dcterms:modified xmlns:dcterms="http://purl.org/dc/terms/" xmlns:xsi="http://www.w3.org/2001/XMLSchema-instance" xsi:type="dcterms:W3CDTF">2026-06-14T06:59:04Z</dcterms:modified>
</cp:coreProperties>
</file>