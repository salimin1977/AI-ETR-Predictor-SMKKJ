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 Bidang Dashboard" sheetId="1" state="visible" r:id="rId3"/>
    <sheet name="Bidang Kemanusiaan" sheetId="2" state="visible" r:id="rId4"/>
    <sheet name="Ringkasan Bida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<sst xmlns="http://schemas.openxmlformats.org/spreadsheetml/2006/main" count="90" uniqueCount="68">
  <si>
    <t xml:space="preserve">🏫  SMKKJ — ROADMAP GPS 4.84  |  SPM 2026</t>
  </si>
  <si>
    <t xml:space="preserve">Analisis GP Bidang  |  Sasaran ETR 4.84  |  18 Subjek — 4 Bidang</t>
  </si>
  <si>
    <t xml:space="preserve">Bil</t>
  </si>
  <si>
    <t xml:space="preserve">BIDANG</t>
  </si>
  <si>
    <t xml:space="preserve">SUBJEK</t>
  </si>
  <si>
    <t xml:space="preserve">GPS SASARAN</t>
  </si>
  <si>
    <t xml:space="preserve">GP BIDANG</t>
  </si>
  <si>
    <t xml:space="preserve">STATUS</t>
  </si>
  <si>
    <t xml:space="preserve">BAHASA</t>
  </si>
  <si>
    <t xml:space="preserve">  BM — Bahasa Melayu</t>
  </si>
  <si>
    <t xml:space="preserve">  BI — Bahasa Inggeris</t>
  </si>
  <si>
    <t xml:space="preserve">KEMANUSIAAN</t>
  </si>
  <si>
    <t xml:space="preserve">  Pendidikan Islam</t>
  </si>
  <si>
    <t xml:space="preserve">  Pendidikan Moral</t>
  </si>
  <si>
    <t xml:space="preserve">  Sejarah</t>
  </si>
  <si>
    <t xml:space="preserve">  PSV — Pendidikan Seni Visual</t>
  </si>
  <si>
    <t xml:space="preserve">  Ekonomi</t>
  </si>
  <si>
    <t xml:space="preserve">  Sains Sukan</t>
  </si>
  <si>
    <t xml:space="preserve">  Tasawwur Islam</t>
  </si>
  <si>
    <t xml:space="preserve">SAINS &amp; MATEMATIK</t>
  </si>
  <si>
    <t xml:space="preserve">  Sains</t>
  </si>
  <si>
    <t xml:space="preserve">  Matematik</t>
  </si>
  <si>
    <t xml:space="preserve">  Matematik Tambahan</t>
  </si>
  <si>
    <t xml:space="preserve">  Fizik</t>
  </si>
  <si>
    <t xml:space="preserve">  Kimia</t>
  </si>
  <si>
    <t xml:space="preserve">  Biologi</t>
  </si>
  <si>
    <t xml:space="preserve">TEK &amp; VOK</t>
  </si>
  <si>
    <t xml:space="preserve">  Perakaunan</t>
  </si>
  <si>
    <t xml:space="preserve">  Perniagaan</t>
  </si>
  <si>
    <t xml:space="preserve">  SRT — Sains Rumah Tangga</t>
  </si>
  <si>
    <t xml:space="preserve">GPS SEKOLAH  (Purata GP 4 Bidang)</t>
  </si>
  <si>
    <t xml:space="preserve">GPS Alternatif (Purata 18 Subjek Terus)</t>
  </si>
  <si>
    <t xml:space="preserve">GAP  (GPS − ETR 4.84)</t>
  </si>
  <si>
    <t xml:space="preserve">Sasaran ETR</t>
  </si>
  <si>
    <t xml:space="preserve">Nota: GPS Sekolah = Purata GP 4 Bidang  |  GPS ≤ 4.84 = SASARAN TERCAPAI  |  Sumber: ProFIT 3.0 SPM 2026 SMKKJ</t>
  </si>
  <si>
    <t xml:space="preserve">🎯  BIDANG KEMANUSIAAN — Analisis GKMP</t>
  </si>
  <si>
    <t xml:space="preserve">SMKKJ  |  SPM 2026  |  Sasaran ETR 4.84</t>
  </si>
  <si>
    <t xml:space="preserve">GURU / PIC</t>
  </si>
  <si>
    <t xml:space="preserve">🔴 KRITIKAL</t>
  </si>
  <si>
    <t xml:space="preserve">  Azlina / W. Mumtazi</t>
  </si>
  <si>
    <t xml:space="preserve">⚠️ PANTAU</t>
  </si>
  <si>
    <t xml:space="preserve">  Saqeef Ramanathan</t>
  </si>
  <si>
    <t xml:space="preserve">  Saqeef Ramanathan / M. Hifzan</t>
  </si>
  <si>
    <t xml:space="preserve">  Nor Azura / Noor Hazila</t>
  </si>
  <si>
    <t xml:space="preserve">  Jamaiyyah</t>
  </si>
  <si>
    <t xml:space="preserve">  Nor Fatehah / Ain Iwani</t>
  </si>
  <si>
    <t xml:space="preserve">  En. Akmal</t>
  </si>
  <si>
    <t xml:space="preserve">GP BIDANG KEMANUSIAAN</t>
  </si>
  <si>
    <t xml:space="preserve">ETR: 4.84</t>
  </si>
  <si>
    <t xml:space="preserve">Tasawwur Islam (3.00) &amp; Pendidikan Islam (3.49) — terendah dalam bidang. Intervensi segera diperlukan.</t>
  </si>
  <si>
    <t xml:space="preserve">⚠️  RISIKO</t>
  </si>
  <si>
    <t xml:space="preserve">Saqeef Ramanathan = guru Sejarah + Pendidikan Moral. Beban berganda = single point of failure.</t>
  </si>
  <si>
    <t xml:space="preserve">✅ KEKUATAN</t>
  </si>
  <si>
    <t xml:space="preserve">Sains Sukan (5.48) &amp; Ekonomi (6.00) memberikan buffer kepada GP bidang.</t>
  </si>
  <si>
    <t xml:space="preserve">📊  RINGKASAN GP BIDANG — SMKKJ SPM 2026</t>
  </si>
  <si>
    <t xml:space="preserve">Sasaran GPS Sekolah: 4.84  |  Sumber: ProFIT 3.0</t>
  </si>
  <si>
    <t xml:space="preserve">BIL. SUBJEK</t>
  </si>
  <si>
    <t xml:space="preserve">GPS TERENDAH</t>
  </si>
  <si>
    <t xml:space="preserve">  Bahasa</t>
  </si>
  <si>
    <t xml:space="preserve">✅ Di Sasaran</t>
  </si>
  <si>
    <t xml:space="preserve">  Kemanusiaan</t>
  </si>
  <si>
    <t xml:space="preserve">  Sains &amp; Matematik</t>
  </si>
  <si>
    <t xml:space="preserve">⚠️ Melebihi ETR</t>
  </si>
  <si>
    <t xml:space="preserve">  Tek &amp; Vok</t>
  </si>
  <si>
    <t xml:space="preserve">  GPS SEKOLAH (Purata 4 Bidang)</t>
  </si>
  <si>
    <t xml:space="preserve">4 Bidang</t>
  </si>
  <si>
    <t xml:space="preserve">  ETR Sasaran</t>
  </si>
  <si>
    <t xml:space="preserve">Sasaran Minimum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</si>
</sst>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+0.00;\-0.00;0.00"/>
    <numFmt numFmtId="167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i val="true"/>
      <sz val="9"/>
      <color rgb="FFC9A4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C9A4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9A4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b val="true"/>
      <sz val="13"/>
      <color rgb="FFC9A4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1E714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9A4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E26B0A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ED7D31"/>
      </patternFill>
    </fill>
    <fill>
      <patternFill patternType="solid">
        <fgColor rgb="FF1E7145"/>
        <bgColor rgb="FF008080"/>
      </patternFill>
    </fill>
    <fill>
      <patternFill patternType="solid">
        <fgColor rgb="FFD6E4F0"/>
        <bgColor rgb="FFF2F2F2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7030A0"/>
      <rgbColor rgb="FFFFF2CC"/>
      <rgbColor rgb="FFF2F2F2"/>
      <rgbColor rgb="FF660066"/>
      <rgbColor rgb="FFED7D31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9A400"/>
      <rgbColor rgb="FFE26B0A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7.5" hidden="false" customHeight="true" outlineLevel="0" collapsed="false"/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19.5" hidden="false" customHeight="true" outlineLevel="0" collapsed="false">
      <c r="B6" s="4" t="n">
        <v>1</v>
      </c>
      <c r="C6" s="5" t="s">
        <v>8</v>
      </c>
      <c r="D6" s="6" t="s">
        <v>9</v>
      </c>
      <c r="E6" s="7" t="n">
        <v>3.7</v>
      </c>
      <c r="F6" s="8" t="n">
        <f aca="false">AVERAGE(E6:E7)</f>
        <v>3.505</v>
      </c>
      <c r="G6" s="9" t="str">
        <f aca="false">IF(F6&lt;=4.84,"✅ Di Sasaran","⚠️ Perlu Usaha")</f>
        <v>✅ Di Sasaran</v>
      </c>
    </row>
    <row r="7" customFormat="false" ht="19.5" hidden="false" customHeight="true" outlineLevel="0" collapsed="false">
      <c r="B7" s="10" t="n">
        <v>2</v>
      </c>
      <c r="C7" s="5"/>
      <c r="D7" s="11" t="s">
        <v>10</v>
      </c>
      <c r="E7" s="12" t="n">
        <v>3.31</v>
      </c>
      <c r="F7" s="8"/>
      <c r="G7" s="8"/>
    </row>
    <row r="8" customFormat="false" ht="19.5" hidden="false" customHeight="true" outlineLevel="0" collapsed="false">
      <c r="B8" s="4" t="n">
        <v>3</v>
      </c>
      <c r="C8" s="13" t="s">
        <v>11</v>
      </c>
      <c r="D8" s="6" t="s">
        <v>12</v>
      </c>
      <c r="E8" s="7" t="n">
        <v>3.49</v>
      </c>
      <c r="F8" s="14" t="n">
        <f aca="false">AVERAGE(E8:E14)</f>
        <v>4.44</v>
      </c>
      <c r="G8" s="15" t="str">
        <f aca="false">IF(F8&lt;=4.84,"✅ Di Sasaran","⚠️ Perlu Usaha")</f>
        <v>✅ Di Sasaran</v>
      </c>
    </row>
    <row r="9" customFormat="false" ht="19.5" hidden="false" customHeight="true" outlineLevel="0" collapsed="false">
      <c r="B9" s="10" t="n">
        <v>4</v>
      </c>
      <c r="C9" s="13"/>
      <c r="D9" s="11" t="s">
        <v>13</v>
      </c>
      <c r="E9" s="12" t="n">
        <v>5</v>
      </c>
      <c r="F9" s="14"/>
      <c r="G9" s="14"/>
    </row>
    <row r="10" customFormat="false" ht="19.5" hidden="false" customHeight="true" outlineLevel="0" collapsed="false">
      <c r="B10" s="4" t="n">
        <v>5</v>
      </c>
      <c r="C10" s="13"/>
      <c r="D10" s="6" t="s">
        <v>14</v>
      </c>
      <c r="E10" s="7" t="n">
        <v>4.5</v>
      </c>
      <c r="F10" s="14"/>
      <c r="G10" s="14"/>
    </row>
    <row r="11" customFormat="false" ht="19.5" hidden="false" customHeight="true" outlineLevel="0" collapsed="false">
      <c r="B11" s="10" t="n">
        <v>6</v>
      </c>
      <c r="C11" s="13"/>
      <c r="D11" s="11" t="s">
        <v>15</v>
      </c>
      <c r="E11" s="12" t="n">
        <v>3.61</v>
      </c>
      <c r="F11" s="14"/>
      <c r="G11" s="14"/>
    </row>
    <row r="12" customFormat="false" ht="19.5" hidden="false" customHeight="true" outlineLevel="0" collapsed="false">
      <c r="B12" s="4" t="n">
        <v>7</v>
      </c>
      <c r="C12" s="13"/>
      <c r="D12" s="6" t="s">
        <v>16</v>
      </c>
      <c r="E12" s="7" t="n">
        <v>6</v>
      </c>
      <c r="F12" s="14"/>
      <c r="G12" s="14"/>
    </row>
    <row r="13" customFormat="false" ht="19.5" hidden="false" customHeight="true" outlineLevel="0" collapsed="false">
      <c r="B13" s="10" t="n">
        <v>8</v>
      </c>
      <c r="C13" s="13"/>
      <c r="D13" s="11" t="s">
        <v>17</v>
      </c>
      <c r="E13" s="12" t="n">
        <v>5.48</v>
      </c>
      <c r="F13" s="14"/>
      <c r="G13" s="14"/>
    </row>
    <row r="14" customFormat="false" ht="19.5" hidden="false" customHeight="true" outlineLevel="0" collapsed="false">
      <c r="B14" s="4" t="n">
        <v>9</v>
      </c>
      <c r="C14" s="13"/>
      <c r="D14" s="6" t="s">
        <v>18</v>
      </c>
      <c r="E14" s="7" t="n">
        <v>3</v>
      </c>
      <c r="F14" s="14"/>
      <c r="G14" s="14"/>
    </row>
    <row r="15" customFormat="false" ht="19.5" hidden="false" customHeight="true" outlineLevel="0" collapsed="false">
      <c r="B15" s="4" t="n">
        <v>10</v>
      </c>
      <c r="C15" s="16" t="s">
        <v>19</v>
      </c>
      <c r="D15" s="6" t="s">
        <v>20</v>
      </c>
      <c r="E15" s="7" t="n">
        <v>4.51</v>
      </c>
      <c r="F15" s="17" t="n">
        <f aca="false">AVERAGE(E15:E20)</f>
        <v>5.21666666666667</v>
      </c>
      <c r="G15" s="18" t="str">
        <f aca="false">IF(F15&lt;=4.84,"✅ Di Sasaran","⚠️ Perlu Usaha")</f>
        <v>⚠️ Perlu Usaha</v>
      </c>
    </row>
    <row r="16" customFormat="false" ht="19.5" hidden="false" customHeight="true" outlineLevel="0" collapsed="false">
      <c r="B16" s="10" t="n">
        <v>11</v>
      </c>
      <c r="C16" s="16"/>
      <c r="D16" s="11" t="s">
        <v>21</v>
      </c>
      <c r="E16" s="12" t="n">
        <v>5.9</v>
      </c>
      <c r="F16" s="17"/>
      <c r="G16" s="17"/>
    </row>
    <row r="17" customFormat="false" ht="19.5" hidden="false" customHeight="true" outlineLevel="0" collapsed="false">
      <c r="B17" s="4" t="n">
        <v>12</v>
      </c>
      <c r="C17" s="16"/>
      <c r="D17" s="6" t="s">
        <v>22</v>
      </c>
      <c r="E17" s="7" t="n">
        <v>6.8</v>
      </c>
      <c r="F17" s="17"/>
      <c r="G17" s="17"/>
    </row>
    <row r="18" customFormat="false" ht="19.5" hidden="false" customHeight="true" outlineLevel="0" collapsed="false">
      <c r="B18" s="10" t="n">
        <v>13</v>
      </c>
      <c r="C18" s="16"/>
      <c r="D18" s="11" t="s">
        <v>23</v>
      </c>
      <c r="E18" s="12" t="n">
        <v>4.09</v>
      </c>
      <c r="F18" s="17"/>
      <c r="G18" s="17"/>
    </row>
    <row r="19" customFormat="false" ht="19.5" hidden="false" customHeight="true" outlineLevel="0" collapsed="false">
      <c r="B19" s="4" t="n">
        <v>14</v>
      </c>
      <c r="C19" s="16"/>
      <c r="D19" s="6" t="s">
        <v>24</v>
      </c>
      <c r="E19" s="7" t="n">
        <v>5.27</v>
      </c>
      <c r="F19" s="17"/>
      <c r="G19" s="17"/>
    </row>
    <row r="20" customFormat="false" ht="19.5" hidden="false" customHeight="true" outlineLevel="0" collapsed="false">
      <c r="B20" s="10" t="n">
        <v>15</v>
      </c>
      <c r="C20" s="16"/>
      <c r="D20" s="11" t="s">
        <v>25</v>
      </c>
      <c r="E20" s="12" t="n">
        <v>4.73</v>
      </c>
      <c r="F20" s="17"/>
      <c r="G20" s="17"/>
    </row>
    <row r="21" customFormat="false" ht="19.5" hidden="false" customHeight="true" outlineLevel="0" collapsed="false">
      <c r="B21" s="4" t="n">
        <v>16</v>
      </c>
      <c r="C21" s="19" t="s">
        <v>26</v>
      </c>
      <c r="D21" s="6" t="s">
        <v>27</v>
      </c>
      <c r="E21" s="7" t="n">
        <v>5.72</v>
      </c>
      <c r="F21" s="20" t="n">
        <f aca="false">AVERAGE(E21:E23)</f>
        <v>5.91333333333333</v>
      </c>
      <c r="G21" s="21" t="str">
        <f aca="false">IF(F21&lt;=4.84,"✅ Di Sasaran","⚠️ Perlu Usaha")</f>
        <v>⚠️ Perlu Usaha</v>
      </c>
    </row>
    <row r="22" customFormat="false" ht="19.5" hidden="false" customHeight="true" outlineLevel="0" collapsed="false">
      <c r="B22" s="10" t="n">
        <v>17</v>
      </c>
      <c r="C22" s="19"/>
      <c r="D22" s="11" t="s">
        <v>28</v>
      </c>
      <c r="E22" s="12" t="n">
        <v>5.31</v>
      </c>
      <c r="F22" s="20"/>
      <c r="G22" s="20"/>
    </row>
    <row r="23" customFormat="false" ht="19.5" hidden="false" customHeight="true" outlineLevel="0" collapsed="false">
      <c r="B23" s="4" t="n">
        <v>18</v>
      </c>
      <c r="C23" s="19"/>
      <c r="D23" s="6" t="s">
        <v>29</v>
      </c>
      <c r="E23" s="7" t="n">
        <v>6.71</v>
      </c>
      <c r="F23" s="20"/>
      <c r="G23" s="20"/>
    </row>
    <row r="25" customFormat="false" ht="6" hidden="false" customHeight="true" outlineLevel="0" collapsed="false"/>
    <row r="26" customFormat="false" ht="30" hidden="false" customHeight="true" outlineLevel="0" collapsed="false">
      <c r="B26" s="22" t="s">
        <v>30</v>
      </c>
      <c r="C26" s="22"/>
      <c r="D26" s="22"/>
      <c r="E26" s="23" t="n">
        <f aca="false">AVERAGE(F6,F8,F15,F21)</f>
        <v>4.76875</v>
      </c>
      <c r="F26" s="24" t="n">
        <v>4.84</v>
      </c>
      <c r="G26" s="25" t="str">
        <f aca="false">IF(E26&lt;=4.84,"✅ SASARAN TERCAPAI","⚠️ BELUM TERCAPAI")</f>
        <v>✅ SASARAN TERCAPAI</v>
      </c>
    </row>
    <row r="27" customFormat="false" ht="21.75" hidden="false" customHeight="true" outlineLevel="0" collapsed="false">
      <c r="B27" s="26" t="s">
        <v>31</v>
      </c>
      <c r="C27" s="26"/>
      <c r="D27" s="26"/>
      <c r="E27" s="27" t="n">
        <f aca="false">AVERAGE(E6,E7,E8,E9,E10,E11,E12,E13,E14,E15,E16,E17,E18,E19,E20,E21,E22,E23)</f>
        <v>4.84055555555556</v>
      </c>
      <c r="F27" s="28" t="n">
        <v>4.84</v>
      </c>
      <c r="G27" s="29" t="str">
        <f aca="false">IF(E27&lt;=4.84,"✅ TERCAPAI","⚠️ BELUM")</f>
        <v>⚠️ BELUM</v>
      </c>
    </row>
    <row r="28" customFormat="false" ht="21.75" hidden="false" customHeight="true" outlineLevel="0" collapsed="false">
      <c r="B28" s="30" t="s">
        <v>32</v>
      </c>
      <c r="C28" s="30"/>
      <c r="D28" s="30"/>
      <c r="E28" s="31" t="n">
        <f aca="false">E26-4.84</f>
        <v>-0.07125</v>
      </c>
      <c r="F28" s="4" t="s">
        <v>33</v>
      </c>
      <c r="G28" s="32" t="str">
        <f aca="false">IF(E26&lt;=4.84,"Di bawah / tepat sasaran ✅","Melebihi — perlu turun ⚠️")</f>
        <v>Di bawah / tepat sasaran ✅</v>
      </c>
    </row>
    <row r="30" customFormat="false" ht="15" hidden="false" customHeight="true" outlineLevel="0" collapsed="false">
      <c r="B30" s="33" t="s">
        <v>34</v>
      </c>
      <c r="C30" s="33"/>
      <c r="D30" s="33"/>
      <c r="E30" s="33"/>
      <c r="F30" s="33"/>
      <c r="G30" s="33"/>
    </row>
  </sheetData>
  <mergeCells count="18">
    <mergeCell ref="B2:G2"/>
    <mergeCell ref="B3:G3"/>
    <mergeCell ref="C6:C7"/>
    <mergeCell ref="F6:F7"/>
    <mergeCell ref="G6:G7"/>
    <mergeCell ref="C8:C14"/>
    <mergeCell ref="F8:F14"/>
    <mergeCell ref="G8:G14"/>
    <mergeCell ref="C15:C20"/>
    <mergeCell ref="F15:F20"/>
    <mergeCell ref="G15:G20"/>
    <mergeCell ref="C21:C23"/>
    <mergeCell ref="F21:F23"/>
    <mergeCell ref="G21:G23"/>
    <mergeCell ref="B26:D26"/>
    <mergeCell ref="B27:D27"/>
    <mergeCell ref="B28:D28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5"/>
  </cols>
  <sheetData>
    <row r="1" customFormat="false" ht="7.5" hidden="false" customHeight="true" outlineLevel="0" collapsed="false"/>
    <row r="2" customFormat="false" ht="37.5" hidden="false" customHeight="true" outlineLevel="0" collapsed="false">
      <c r="B2" s="34" t="s">
        <v>35</v>
      </c>
      <c r="C2" s="34"/>
      <c r="D2" s="34"/>
      <c r="E2" s="34"/>
      <c r="F2" s="34"/>
    </row>
    <row r="3" customFormat="false" ht="19.5" hidden="false" customHeight="true" outlineLevel="0" collapsed="false">
      <c r="B3" s="35" t="s">
        <v>36</v>
      </c>
      <c r="C3" s="35"/>
      <c r="D3" s="35"/>
      <c r="E3" s="35"/>
      <c r="F3" s="35"/>
    </row>
    <row r="4" customFormat="false" ht="7.5" hidden="false" customHeight="true" outlineLevel="0" collapsed="false"/>
    <row r="5" customFormat="false" ht="27.75" hidden="false" customHeight="true" outlineLevel="0" collapsed="false">
      <c r="B5" s="3" t="s">
        <v>2</v>
      </c>
      <c r="C5" s="3" t="s">
        <v>4</v>
      </c>
      <c r="D5" s="3" t="s">
        <v>5</v>
      </c>
      <c r="E5" s="3" t="s">
        <v>7</v>
      </c>
      <c r="F5" s="3" t="s">
        <v>37</v>
      </c>
    </row>
    <row r="6" customFormat="false" ht="19.5" hidden="false" customHeight="true" outlineLevel="0" collapsed="false">
      <c r="B6" s="4" t="n">
        <v>1</v>
      </c>
      <c r="C6" s="6" t="s">
        <v>12</v>
      </c>
      <c r="D6" s="7" t="n">
        <v>3.49</v>
      </c>
      <c r="E6" s="36" t="s">
        <v>38</v>
      </c>
      <c r="F6" s="6" t="s">
        <v>39</v>
      </c>
    </row>
    <row r="7" customFormat="false" ht="19.5" hidden="false" customHeight="true" outlineLevel="0" collapsed="false">
      <c r="B7" s="10" t="n">
        <v>2</v>
      </c>
      <c r="C7" s="11" t="s">
        <v>13</v>
      </c>
      <c r="D7" s="12" t="n">
        <v>5</v>
      </c>
      <c r="E7" s="37" t="s">
        <v>40</v>
      </c>
      <c r="F7" s="11" t="s">
        <v>41</v>
      </c>
    </row>
    <row r="8" customFormat="false" ht="19.5" hidden="false" customHeight="true" outlineLevel="0" collapsed="false">
      <c r="B8" s="4" t="n">
        <v>3</v>
      </c>
      <c r="C8" s="6" t="s">
        <v>14</v>
      </c>
      <c r="D8" s="7" t="n">
        <v>4.5</v>
      </c>
      <c r="E8" s="37" t="s">
        <v>40</v>
      </c>
      <c r="F8" s="6" t="s">
        <v>42</v>
      </c>
    </row>
    <row r="9" customFormat="false" ht="19.5" hidden="false" customHeight="true" outlineLevel="0" collapsed="false">
      <c r="B9" s="10" t="n">
        <v>4</v>
      </c>
      <c r="C9" s="11" t="s">
        <v>15</v>
      </c>
      <c r="D9" s="12" t="n">
        <v>3.61</v>
      </c>
      <c r="E9" s="36" t="s">
        <v>38</v>
      </c>
      <c r="F9" s="11" t="s">
        <v>43</v>
      </c>
    </row>
    <row r="10" customFormat="false" ht="19.5" hidden="false" customHeight="true" outlineLevel="0" collapsed="false">
      <c r="B10" s="4" t="n">
        <v>5</v>
      </c>
      <c r="C10" s="6" t="s">
        <v>16</v>
      </c>
      <c r="D10" s="7" t="n">
        <v>6</v>
      </c>
      <c r="E10" s="37" t="s">
        <v>40</v>
      </c>
      <c r="F10" s="6" t="s">
        <v>44</v>
      </c>
    </row>
    <row r="11" customFormat="false" ht="19.5" hidden="false" customHeight="true" outlineLevel="0" collapsed="false">
      <c r="B11" s="10" t="n">
        <v>6</v>
      </c>
      <c r="C11" s="11" t="s">
        <v>17</v>
      </c>
      <c r="D11" s="12" t="n">
        <v>5.48</v>
      </c>
      <c r="E11" s="37" t="s">
        <v>40</v>
      </c>
      <c r="F11" s="11" t="s">
        <v>45</v>
      </c>
    </row>
    <row r="12" customFormat="false" ht="19.5" hidden="false" customHeight="true" outlineLevel="0" collapsed="false">
      <c r="B12" s="4" t="n">
        <v>7</v>
      </c>
      <c r="C12" s="6" t="s">
        <v>18</v>
      </c>
      <c r="D12" s="7" t="n">
        <v>3</v>
      </c>
      <c r="E12" s="36" t="s">
        <v>38</v>
      </c>
      <c r="F12" s="6" t="s">
        <v>46</v>
      </c>
    </row>
    <row r="14" customFormat="false" ht="27.75" hidden="false" customHeight="true" outlineLevel="0" collapsed="false">
      <c r="B14" s="22" t="s">
        <v>47</v>
      </c>
      <c r="C14" s="22"/>
      <c r="D14" s="38" t="n">
        <f aca="false">AVERAGE(D6:D12)</f>
        <v>4.44</v>
      </c>
      <c r="E14" s="25" t="str">
        <f aca="false">IF(D14&lt;=4.84,"✅ Di Sasaran","⚠️ Perlu Ditingkat")</f>
        <v>✅ Di Sasaran</v>
      </c>
      <c r="F14" s="39" t="s">
        <v>48</v>
      </c>
    </row>
    <row r="16" customFormat="false" ht="24" hidden="false" customHeight="true" outlineLevel="0" collapsed="false">
      <c r="B16" s="36" t="s">
        <v>38</v>
      </c>
      <c r="C16" s="40" t="s">
        <v>49</v>
      </c>
      <c r="D16" s="40"/>
      <c r="E16" s="40"/>
      <c r="F16" s="40"/>
    </row>
    <row r="17" customFormat="false" ht="24" hidden="false" customHeight="true" outlineLevel="0" collapsed="false">
      <c r="B17" s="37" t="s">
        <v>50</v>
      </c>
      <c r="C17" s="40" t="s">
        <v>51</v>
      </c>
      <c r="D17" s="40"/>
      <c r="E17" s="40"/>
      <c r="F17" s="40"/>
    </row>
    <row r="18" customFormat="false" ht="24" hidden="false" customHeight="true" outlineLevel="0" collapsed="false">
      <c r="B18" s="41" t="s">
        <v>52</v>
      </c>
      <c r="C18" s="40" t="s">
        <v>53</v>
      </c>
      <c r="D18" s="40"/>
      <c r="E18" s="40"/>
      <c r="F18" s="40"/>
    </row>
  </sheetData>
  <mergeCells count="6">
    <mergeCell ref="B2:F2"/>
    <mergeCell ref="B3:F3"/>
    <mergeCell ref="B14:C14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5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42" t="s">
        <v>54</v>
      </c>
      <c r="B2" s="42"/>
      <c r="C2" s="42"/>
      <c r="D2" s="42"/>
      <c r="E2" s="42"/>
      <c r="F2" s="42"/>
    </row>
    <row r="3" customFormat="false" ht="21.75" hidden="false" customHeight="true" outlineLevel="0" collapsed="false">
      <c r="A3" s="2" t="s">
        <v>55</v>
      </c>
      <c r="B3" s="2"/>
      <c r="C3" s="2"/>
      <c r="D3" s="2"/>
      <c r="E3" s="2"/>
      <c r="F3" s="2"/>
    </row>
    <row r="4" customFormat="false" ht="7.5" hidden="false" customHeight="true" outlineLevel="0" collapsed="false"/>
    <row r="5" customFormat="false" ht="27.75" hidden="false" customHeight="true" outlineLevel="0" collapsed="false">
      <c r="A5" s="3" t="s">
        <v>3</v>
      </c>
      <c r="B5" s="3" t="s">
        <v>56</v>
      </c>
      <c r="C5" s="3" t="s">
        <v>57</v>
      </c>
      <c r="D5" s="3" t="s">
        <v>6</v>
      </c>
      <c r="E5" s="3" t="s">
        <v>7</v>
      </c>
    </row>
    <row r="6" customFormat="false" ht="24" hidden="false" customHeight="true" outlineLevel="0" collapsed="false">
      <c r="A6" s="43" t="s">
        <v>58</v>
      </c>
      <c r="B6" s="44" t="n">
        <v>2</v>
      </c>
      <c r="C6" s="45" t="n">
        <v>3.31</v>
      </c>
      <c r="D6" s="46" t="n">
        <v>3.505</v>
      </c>
      <c r="E6" s="47" t="s">
        <v>59</v>
      </c>
    </row>
    <row r="7" customFormat="false" ht="24" hidden="false" customHeight="true" outlineLevel="0" collapsed="false">
      <c r="A7" s="48" t="s">
        <v>60</v>
      </c>
      <c r="B7" s="44" t="n">
        <v>7</v>
      </c>
      <c r="C7" s="45" t="n">
        <v>3</v>
      </c>
      <c r="D7" s="46" t="n">
        <v>4.44</v>
      </c>
      <c r="E7" s="47" t="s">
        <v>59</v>
      </c>
    </row>
    <row r="8" customFormat="false" ht="24" hidden="false" customHeight="true" outlineLevel="0" collapsed="false">
      <c r="A8" s="49" t="s">
        <v>61</v>
      </c>
      <c r="B8" s="44" t="n">
        <v>6</v>
      </c>
      <c r="C8" s="45" t="n">
        <v>4.09</v>
      </c>
      <c r="D8" s="50" t="n">
        <v>5.2167</v>
      </c>
      <c r="E8" s="51" t="s">
        <v>62</v>
      </c>
    </row>
    <row r="9" customFormat="false" ht="24" hidden="false" customHeight="true" outlineLevel="0" collapsed="false">
      <c r="A9" s="52" t="s">
        <v>63</v>
      </c>
      <c r="B9" s="44" t="n">
        <v>3</v>
      </c>
      <c r="C9" s="45" t="n">
        <v>5.31</v>
      </c>
      <c r="D9" s="50" t="n">
        <v>5.9133</v>
      </c>
      <c r="E9" s="51" t="s">
        <v>62</v>
      </c>
    </row>
    <row r="11" customFormat="false" ht="30" hidden="false" customHeight="true" outlineLevel="0" collapsed="false">
      <c r="A11" s="53" t="s">
        <v>64</v>
      </c>
      <c r="B11" s="39" t="s">
        <v>65</v>
      </c>
      <c r="C11" s="54"/>
      <c r="D11" s="23" t="n">
        <f aca="false">AVERAGE(D6:D9)</f>
        <v>4.76875</v>
      </c>
      <c r="E11" s="55" t="str">
        <f aca="false">IF(D11&lt;=4.84,"✅ TERCAPAI","⚠️ BELUM TERCAPAI")</f>
        <v>✅ TERCAPAI</v>
      </c>
    </row>
    <row r="12" customFormat="false" ht="21.75" hidden="false" customHeight="true" outlineLevel="0" collapsed="false">
      <c r="A12" s="56" t="s">
        <v>66</v>
      </c>
      <c r="B12" s="57"/>
      <c r="C12" s="57"/>
      <c r="D12" s="58" t="n">
        <v>4.84</v>
      </c>
      <c r="E12" s="37" t="s">
        <v>67</v>
      </c>
    </row>
  </sheetData>
  <mergeCells count="2"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2026-06-26T06:40:14Z</dcterms:created>
  <dc:creator>openpyxl</dc:creator>
  <dc:description/>
  <dc:language>en-US</dc:language>
  <cp:lastModifiedBy/>
  <dcterms:modified xsi:type="dcterms:W3CDTF">2026-06-26T06:40:14Z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